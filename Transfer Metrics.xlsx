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a339f3c5e877e2f/Documents/Research/PhDMATLABScripts/"/>
    </mc:Choice>
  </mc:AlternateContent>
  <xr:revisionPtr revIDLastSave="2362" documentId="8_{DF437DF6-18B8-4E62-9AE0-ACF29B3AAB8F}" xr6:coauthVersionLast="47" xr6:coauthVersionMax="47" xr10:uidLastSave="{287FA451-EB7D-4599-8F9F-095CD146C035}"/>
  <bookViews>
    <workbookView xWindow="38280" yWindow="-120" windowWidth="29040" windowHeight="15720" activeTab="1" xr2:uid="{2C49E6D5-F3A0-4A74-872B-E9D9654D0C08}"/>
  </bookViews>
  <sheets>
    <sheet name="Mars Orientation" sheetId="1" r:id="rId1"/>
    <sheet name="Venus Orient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3" i="2" l="1"/>
  <c r="V33" i="2"/>
  <c r="X23" i="2"/>
  <c r="W23" i="2"/>
  <c r="V23" i="2"/>
  <c r="X27" i="2"/>
  <c r="W27" i="2"/>
  <c r="V27" i="2"/>
  <c r="X16" i="2"/>
  <c r="W16" i="2"/>
  <c r="V16" i="2"/>
  <c r="X6" i="2"/>
  <c r="W6" i="2"/>
  <c r="V6" i="2"/>
  <c r="X10" i="2"/>
  <c r="W10" i="2"/>
  <c r="V10" i="2"/>
  <c r="X15" i="2"/>
  <c r="W15" i="2"/>
  <c r="V15" i="2"/>
  <c r="X5" i="2"/>
  <c r="W5" i="2"/>
  <c r="V5" i="2"/>
  <c r="X9" i="2"/>
  <c r="W9" i="2"/>
  <c r="V9" i="2"/>
  <c r="X14" i="2"/>
  <c r="W14" i="2"/>
  <c r="V14" i="2"/>
  <c r="X4" i="2"/>
  <c r="W4" i="2"/>
  <c r="V4" i="2"/>
  <c r="X18" i="2"/>
  <c r="W18" i="2"/>
  <c r="V18" i="2"/>
  <c r="X8" i="2"/>
  <c r="W8" i="2"/>
  <c r="V8" i="2"/>
  <c r="X12" i="2"/>
  <c r="W12" i="2"/>
  <c r="V12" i="2"/>
  <c r="X13" i="2"/>
  <c r="W13" i="2"/>
  <c r="V13" i="2"/>
  <c r="X3" i="2"/>
  <c r="W3" i="2"/>
  <c r="V3" i="2"/>
  <c r="X17" i="2"/>
  <c r="W17" i="2"/>
  <c r="V17" i="2"/>
  <c r="X7" i="2"/>
  <c r="W7" i="2"/>
  <c r="V7" i="2"/>
  <c r="X11" i="2"/>
  <c r="W11" i="2"/>
  <c r="V11" i="2"/>
  <c r="X32" i="2"/>
  <c r="W32" i="2"/>
  <c r="V32" i="2"/>
  <c r="X36" i="2"/>
  <c r="W36" i="2"/>
  <c r="V36" i="2"/>
  <c r="X22" i="2"/>
  <c r="W22" i="2"/>
  <c r="V22" i="2"/>
  <c r="X26" i="2"/>
  <c r="W26" i="2"/>
  <c r="V26" i="2"/>
  <c r="X31" i="2"/>
  <c r="W31" i="2"/>
  <c r="V31" i="2"/>
  <c r="X35" i="2"/>
  <c r="W35" i="2"/>
  <c r="V35" i="2"/>
  <c r="X21" i="2"/>
  <c r="W21" i="2"/>
  <c r="V21" i="2"/>
  <c r="X25" i="2"/>
  <c r="W25" i="2"/>
  <c r="V25" i="2"/>
  <c r="X30" i="2"/>
  <c r="W30" i="2"/>
  <c r="V30" i="2"/>
  <c r="X20" i="2"/>
  <c r="W20" i="2"/>
  <c r="V20" i="2"/>
  <c r="X34" i="2"/>
  <c r="W34" i="2"/>
  <c r="V34" i="2"/>
  <c r="X38" i="2"/>
  <c r="W38" i="2"/>
  <c r="V38" i="2"/>
  <c r="X24" i="2"/>
  <c r="W24" i="2"/>
  <c r="V24" i="2"/>
  <c r="X28" i="2"/>
  <c r="W28" i="2"/>
  <c r="V28" i="2"/>
  <c r="X29" i="2"/>
  <c r="W29" i="2"/>
  <c r="V29" i="2"/>
  <c r="X19" i="2"/>
  <c r="W19" i="2"/>
  <c r="V19" i="2"/>
  <c r="X33" i="2"/>
  <c r="X37" i="2"/>
  <c r="W37" i="2"/>
  <c r="V37" i="2"/>
  <c r="X16" i="1"/>
  <c r="W16" i="1"/>
  <c r="V16" i="1"/>
  <c r="X6" i="1"/>
  <c r="W6" i="1"/>
  <c r="V6" i="1"/>
  <c r="X10" i="1"/>
  <c r="W10" i="1"/>
  <c r="V10" i="1"/>
  <c r="X15" i="1"/>
  <c r="W15" i="1"/>
  <c r="V15" i="1"/>
  <c r="X5" i="1"/>
  <c r="W5" i="1"/>
  <c r="V5" i="1"/>
  <c r="X9" i="1"/>
  <c r="W9" i="1"/>
  <c r="V9" i="1"/>
  <c r="X14" i="1"/>
  <c r="W14" i="1"/>
  <c r="V14" i="1"/>
  <c r="X4" i="1"/>
  <c r="W4" i="1"/>
  <c r="V4" i="1"/>
  <c r="X18" i="1"/>
  <c r="W18" i="1"/>
  <c r="V18" i="1"/>
  <c r="X8" i="1"/>
  <c r="W8" i="1"/>
  <c r="V8" i="1"/>
  <c r="X12" i="1"/>
  <c r="W12" i="1"/>
  <c r="V12" i="1"/>
  <c r="X13" i="1"/>
  <c r="W13" i="1"/>
  <c r="V13" i="1"/>
  <c r="X3" i="1"/>
  <c r="W3" i="1"/>
  <c r="V3" i="1"/>
  <c r="X17" i="1"/>
  <c r="W17" i="1"/>
  <c r="V17" i="1"/>
  <c r="X7" i="1"/>
  <c r="W7" i="1"/>
  <c r="V7" i="1"/>
  <c r="X11" i="1"/>
  <c r="W11" i="1"/>
  <c r="V11" i="1"/>
  <c r="X32" i="1"/>
  <c r="W32" i="1"/>
  <c r="V32" i="1"/>
  <c r="X36" i="1"/>
  <c r="W36" i="1"/>
  <c r="V36" i="1"/>
  <c r="X22" i="1"/>
  <c r="W22" i="1"/>
  <c r="V22" i="1"/>
  <c r="X26" i="1"/>
  <c r="W26" i="1"/>
  <c r="V26" i="1"/>
  <c r="X31" i="1"/>
  <c r="W31" i="1"/>
  <c r="V31" i="1"/>
  <c r="X35" i="1"/>
  <c r="W35" i="1"/>
  <c r="V35" i="1"/>
  <c r="X21" i="1"/>
  <c r="W21" i="1"/>
  <c r="V21" i="1"/>
  <c r="X25" i="1"/>
  <c r="W25" i="1"/>
  <c r="V25" i="1"/>
  <c r="X30" i="1"/>
  <c r="W30" i="1"/>
  <c r="V30" i="1"/>
  <c r="X20" i="1"/>
  <c r="W20" i="1"/>
  <c r="V20" i="1"/>
  <c r="X34" i="1"/>
  <c r="W34" i="1"/>
  <c r="V34" i="1"/>
  <c r="X38" i="1"/>
  <c r="W38" i="1"/>
  <c r="V38" i="1"/>
  <c r="X24" i="1"/>
  <c r="W24" i="1"/>
  <c r="V24" i="1"/>
  <c r="X28" i="1"/>
  <c r="W28" i="1"/>
  <c r="V28" i="1"/>
  <c r="X29" i="1"/>
  <c r="W29" i="1"/>
  <c r="V29" i="1"/>
  <c r="X19" i="1"/>
  <c r="W19" i="1"/>
  <c r="V19" i="1"/>
  <c r="X33" i="1"/>
  <c r="W33" i="1"/>
  <c r="V33" i="1"/>
  <c r="X37" i="1"/>
  <c r="W37" i="1"/>
  <c r="V37" i="1"/>
  <c r="X23" i="1"/>
  <c r="W23" i="1"/>
  <c r="V23" i="1"/>
  <c r="X27" i="1"/>
  <c r="W27" i="1"/>
  <c r="V27" i="1"/>
</calcChain>
</file>

<file path=xl/sharedStrings.xml><?xml version="1.0" encoding="utf-8"?>
<sst xmlns="http://schemas.openxmlformats.org/spreadsheetml/2006/main" count="2240" uniqueCount="37">
  <si>
    <t>Location</t>
  </si>
  <si>
    <t>Family</t>
  </si>
  <si>
    <t>JC</t>
  </si>
  <si>
    <t>Orientation</t>
  </si>
  <si>
    <t>L2</t>
  </si>
  <si>
    <t>Halo</t>
  </si>
  <si>
    <t>Northern</t>
  </si>
  <si>
    <t>L1</t>
  </si>
  <si>
    <t>Hypervolume</t>
  </si>
  <si>
    <t>Southern</t>
  </si>
  <si>
    <t>Butterfly</t>
  </si>
  <si>
    <t>Axial</t>
  </si>
  <si>
    <t>Northwestern</t>
  </si>
  <si>
    <t>Southwestern</t>
  </si>
  <si>
    <t>Lyapunov</t>
  </si>
  <si>
    <t>Vertical</t>
  </si>
  <si>
    <t>Normalized Mean Distance</t>
  </si>
  <si>
    <t>Departure</t>
  </si>
  <si>
    <t>Arrival</t>
  </si>
  <si>
    <t>Best</t>
  </si>
  <si>
    <t>Mean</t>
  </si>
  <si>
    <t>HV</t>
  </si>
  <si>
    <t>MD</t>
  </si>
  <si>
    <t>Lyapunoc</t>
  </si>
  <si>
    <t>N-&gt;S</t>
  </si>
  <si>
    <t>S-&gt;S</t>
  </si>
  <si>
    <t>S-&gt;N</t>
  </si>
  <si>
    <t>SW-&gt;S</t>
  </si>
  <si>
    <t>-&gt;N</t>
  </si>
  <si>
    <t>S-&gt;</t>
  </si>
  <si>
    <t>N-&gt;</t>
  </si>
  <si>
    <t>NW-&gt;</t>
  </si>
  <si>
    <t>N-&gt;N</t>
  </si>
  <si>
    <t>-&gt;S</t>
  </si>
  <si>
    <t>NW-&gt;N</t>
  </si>
  <si>
    <t>SW-&gt;</t>
  </si>
  <si>
    <t>SW-&gt;N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</si>
</sst>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quotePrefix="1" applyFill="1"/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0" borderId="0" xfId="0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89B6-C060-4291-9524-7F1F5E10C27A}">
  <dimension ref="A1:AK221"/>
  <sheetViews>
    <sheetView topLeftCell="E1" workbookViewId="0">
      <selection activeCell="N40" sqref="N40"/>
    </sheetView>
  </sheetViews>
  <sheetFormatPr defaultRowHeight="14.5" x14ac:dyDescent="0.35"/>
  <cols>
    <col min="4" max="4" width="12.26953125" bestFit="1" customWidth="1"/>
    <col min="9" max="9" width="10" bestFit="1" customWidth="1"/>
    <col min="11" max="11" width="11.36328125" bestFit="1" customWidth="1"/>
    <col min="12" max="12" width="22.7265625" bestFit="1" customWidth="1"/>
    <col min="21" max="21" width="10" bestFit="1" customWidth="1"/>
    <col min="22" max="22" width="5.81640625" bestFit="1" customWidth="1"/>
    <col min="23" max="24" width="7.81640625" bestFit="1" customWidth="1"/>
    <col min="25" max="25" width="17.08984375" bestFit="1" customWidth="1"/>
    <col min="33" max="33" width="10.453125" bestFit="1" customWidth="1"/>
    <col min="34" max="34" width="11.81640625" bestFit="1" customWidth="1"/>
    <col min="35" max="35" width="24" bestFit="1" customWidth="1"/>
    <col min="36" max="36" width="17.1796875" bestFit="1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H1" t="s">
        <v>2</v>
      </c>
      <c r="I1" t="s">
        <v>3</v>
      </c>
      <c r="K1" t="s">
        <v>8</v>
      </c>
      <c r="L1" t="s">
        <v>16</v>
      </c>
      <c r="O1" s="7" t="s">
        <v>17</v>
      </c>
      <c r="P1" s="7"/>
      <c r="Q1" s="7"/>
      <c r="R1" s="7" t="s">
        <v>18</v>
      </c>
      <c r="S1" s="7"/>
      <c r="T1" s="7"/>
      <c r="U1" s="7" t="s">
        <v>19</v>
      </c>
      <c r="V1" s="7"/>
      <c r="W1" s="7"/>
      <c r="X1" s="4" t="s">
        <v>20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x14ac:dyDescent="0.35">
      <c r="A2" t="s">
        <v>4</v>
      </c>
      <c r="B2" t="s">
        <v>5</v>
      </c>
      <c r="C2">
        <v>3.1</v>
      </c>
      <c r="D2" t="s">
        <v>6</v>
      </c>
      <c r="F2" t="s">
        <v>7</v>
      </c>
      <c r="G2" t="s">
        <v>5</v>
      </c>
      <c r="H2">
        <v>3.0001199999999999</v>
      </c>
      <c r="I2" t="s">
        <v>6</v>
      </c>
      <c r="K2">
        <v>4.7256</v>
      </c>
      <c r="L2">
        <v>0.13213</v>
      </c>
      <c r="O2" s="4" t="s">
        <v>0</v>
      </c>
      <c r="P2" s="4" t="s">
        <v>1</v>
      </c>
      <c r="Q2" s="4" t="s">
        <v>2</v>
      </c>
      <c r="R2" s="4" t="s">
        <v>0</v>
      </c>
      <c r="S2" s="4" t="s">
        <v>1</v>
      </c>
      <c r="T2" s="4" t="s">
        <v>2</v>
      </c>
      <c r="U2" s="4" t="s">
        <v>3</v>
      </c>
      <c r="V2" s="4" t="s">
        <v>21</v>
      </c>
      <c r="W2" s="4" t="s">
        <v>22</v>
      </c>
      <c r="X2" s="4" t="s">
        <v>21</v>
      </c>
    </row>
    <row r="3" spans="1:37" x14ac:dyDescent="0.35">
      <c r="A3" t="s">
        <v>4</v>
      </c>
      <c r="B3" t="s">
        <v>5</v>
      </c>
      <c r="C3">
        <v>3.1</v>
      </c>
      <c r="D3" t="s">
        <v>9</v>
      </c>
      <c r="F3" t="s">
        <v>7</v>
      </c>
      <c r="G3" t="s">
        <v>5</v>
      </c>
      <c r="H3">
        <v>3.0001199999999999</v>
      </c>
      <c r="I3" t="s">
        <v>6</v>
      </c>
      <c r="K3">
        <v>4.6329000000000002</v>
      </c>
      <c r="L3">
        <v>0.13386000000000001</v>
      </c>
      <c r="O3" s="2" t="s">
        <v>7</v>
      </c>
      <c r="P3" s="2" t="s">
        <v>14</v>
      </c>
      <c r="Q3" s="2">
        <v>3.03</v>
      </c>
      <c r="R3" s="2" t="s">
        <v>7</v>
      </c>
      <c r="S3" s="2" t="s">
        <v>5</v>
      </c>
      <c r="T3" s="2">
        <v>3.0001199999999999</v>
      </c>
      <c r="U3" s="3" t="s">
        <v>33</v>
      </c>
      <c r="V3" s="2">
        <f>K94</f>
        <v>4.5221</v>
      </c>
      <c r="W3" s="2">
        <f>L94</f>
        <v>0.17523</v>
      </c>
      <c r="X3" s="2">
        <f>AVERAGE(K93:K94)</f>
        <v>4.4823500000000003</v>
      </c>
      <c r="AG3" s="1"/>
    </row>
    <row r="4" spans="1:37" x14ac:dyDescent="0.35">
      <c r="A4" t="s">
        <v>4</v>
      </c>
      <c r="B4" t="s">
        <v>5</v>
      </c>
      <c r="C4">
        <v>3.1</v>
      </c>
      <c r="D4" t="s">
        <v>6</v>
      </c>
      <c r="F4" t="s">
        <v>7</v>
      </c>
      <c r="G4" t="s">
        <v>5</v>
      </c>
      <c r="H4">
        <v>3.0001199999999999</v>
      </c>
      <c r="I4" t="s">
        <v>9</v>
      </c>
      <c r="K4">
        <v>4.7759999999999998</v>
      </c>
      <c r="L4">
        <v>0.13532</v>
      </c>
      <c r="O4" t="s">
        <v>7</v>
      </c>
      <c r="P4" t="s">
        <v>14</v>
      </c>
      <c r="Q4">
        <v>3.03</v>
      </c>
      <c r="R4" t="s">
        <v>4</v>
      </c>
      <c r="S4" t="s">
        <v>5</v>
      </c>
      <c r="T4">
        <v>3.00007</v>
      </c>
      <c r="U4" s="1" t="s">
        <v>28</v>
      </c>
      <c r="V4">
        <f>K114</f>
        <v>2.5606</v>
      </c>
      <c r="W4">
        <f>L114</f>
        <v>0.24012</v>
      </c>
      <c r="X4">
        <f>AVERAGE(K114:K115)</f>
        <v>2.5266500000000001</v>
      </c>
      <c r="AG4" s="1"/>
    </row>
    <row r="5" spans="1:37" x14ac:dyDescent="0.35">
      <c r="A5" t="s">
        <v>4</v>
      </c>
      <c r="B5" t="s">
        <v>5</v>
      </c>
      <c r="C5">
        <v>3.1</v>
      </c>
      <c r="D5" t="s">
        <v>9</v>
      </c>
      <c r="F5" t="s">
        <v>7</v>
      </c>
      <c r="G5" t="s">
        <v>5</v>
      </c>
      <c r="H5">
        <v>3.0001199999999999</v>
      </c>
      <c r="I5" t="s">
        <v>9</v>
      </c>
      <c r="K5">
        <v>4.6940999999999997</v>
      </c>
      <c r="L5">
        <v>0.13486000000000001</v>
      </c>
      <c r="O5" t="s">
        <v>7</v>
      </c>
      <c r="P5" t="s">
        <v>5</v>
      </c>
      <c r="Q5">
        <v>3.03</v>
      </c>
      <c r="R5" t="s">
        <v>7</v>
      </c>
      <c r="S5" t="s">
        <v>14</v>
      </c>
      <c r="T5">
        <v>3.0001000000000002</v>
      </c>
      <c r="U5" t="s">
        <v>29</v>
      </c>
      <c r="V5">
        <f>K124</f>
        <v>4.2035</v>
      </c>
      <c r="W5">
        <f>L124</f>
        <v>0.17652000000000001</v>
      </c>
      <c r="X5">
        <f>AVERAGE(K123:K124)</f>
        <v>4.19285</v>
      </c>
    </row>
    <row r="6" spans="1:37" x14ac:dyDescent="0.35">
      <c r="O6" t="s">
        <v>7</v>
      </c>
      <c r="P6" t="s">
        <v>5</v>
      </c>
      <c r="Q6">
        <v>3.03</v>
      </c>
      <c r="R6" t="s">
        <v>4</v>
      </c>
      <c r="S6" t="s">
        <v>23</v>
      </c>
      <c r="T6">
        <v>3.0001000000000002</v>
      </c>
      <c r="U6" t="s">
        <v>29</v>
      </c>
      <c r="V6">
        <f>K133</f>
        <v>2.9516</v>
      </c>
      <c r="W6">
        <f>L133</f>
        <v>0.17630999999999999</v>
      </c>
      <c r="X6">
        <f>AVERAGE(K132:K133)</f>
        <v>2.9434499999999999</v>
      </c>
    </row>
    <row r="7" spans="1:37" x14ac:dyDescent="0.35">
      <c r="A7" t="s">
        <v>4</v>
      </c>
      <c r="B7" t="s">
        <v>5</v>
      </c>
      <c r="C7">
        <v>3.03</v>
      </c>
      <c r="D7" t="s">
        <v>6</v>
      </c>
      <c r="F7" t="s">
        <v>7</v>
      </c>
      <c r="G7" t="s">
        <v>5</v>
      </c>
      <c r="H7">
        <v>3.0001199999999999</v>
      </c>
      <c r="I7" t="s">
        <v>6</v>
      </c>
      <c r="K7">
        <v>4.6174999999999997</v>
      </c>
      <c r="L7">
        <v>0.13657</v>
      </c>
      <c r="O7" s="2" t="s">
        <v>7</v>
      </c>
      <c r="P7" s="2" t="s">
        <v>5</v>
      </c>
      <c r="Q7" s="2">
        <v>3.03</v>
      </c>
      <c r="R7" s="2" t="s">
        <v>7</v>
      </c>
      <c r="S7" s="2" t="s">
        <v>5</v>
      </c>
      <c r="T7" s="2">
        <v>3.0001199999999999</v>
      </c>
      <c r="U7" s="2" t="s">
        <v>32</v>
      </c>
      <c r="V7" s="2">
        <f>K83</f>
        <v>4.3373999999999997</v>
      </c>
      <c r="W7" s="2">
        <f>L83</f>
        <v>0.17868999999999999</v>
      </c>
      <c r="X7" s="2">
        <f>AVERAGE(K83:K86)</f>
        <v>4.2597249999999995</v>
      </c>
    </row>
    <row r="8" spans="1:37" x14ac:dyDescent="0.35">
      <c r="A8" t="s">
        <v>4</v>
      </c>
      <c r="B8" t="s">
        <v>5</v>
      </c>
      <c r="C8">
        <v>3.03</v>
      </c>
      <c r="D8" t="s">
        <v>9</v>
      </c>
      <c r="F8" t="s">
        <v>7</v>
      </c>
      <c r="G8" t="s">
        <v>5</v>
      </c>
      <c r="H8">
        <v>3.0001199999999999</v>
      </c>
      <c r="I8" t="s">
        <v>6</v>
      </c>
      <c r="K8">
        <v>4.6325000000000003</v>
      </c>
      <c r="L8">
        <v>0.14177000000000001</v>
      </c>
      <c r="O8" t="s">
        <v>7</v>
      </c>
      <c r="P8" t="s">
        <v>5</v>
      </c>
      <c r="Q8">
        <v>3.03</v>
      </c>
      <c r="R8" t="s">
        <v>4</v>
      </c>
      <c r="S8" t="s">
        <v>5</v>
      </c>
      <c r="T8">
        <v>3.00007</v>
      </c>
      <c r="U8" t="s">
        <v>24</v>
      </c>
      <c r="V8">
        <f>K106</f>
        <v>2.3233000000000001</v>
      </c>
      <c r="W8">
        <f>L106</f>
        <v>0.16941999999999999</v>
      </c>
      <c r="X8">
        <f>AVERAGE(K104:K107)</f>
        <v>2.2963499999999999</v>
      </c>
    </row>
    <row r="9" spans="1:37" x14ac:dyDescent="0.35">
      <c r="A9" t="s">
        <v>4</v>
      </c>
      <c r="B9" t="s">
        <v>5</v>
      </c>
      <c r="C9">
        <v>3.03</v>
      </c>
      <c r="D9" t="s">
        <v>6</v>
      </c>
      <c r="F9" t="s">
        <v>7</v>
      </c>
      <c r="G9" t="s">
        <v>5</v>
      </c>
      <c r="H9">
        <v>3.0001199999999999</v>
      </c>
      <c r="I9" t="s">
        <v>9</v>
      </c>
      <c r="K9">
        <v>4.6166999999999998</v>
      </c>
      <c r="L9">
        <v>0.13281999999999999</v>
      </c>
      <c r="O9" t="s">
        <v>7</v>
      </c>
      <c r="P9" t="s">
        <v>5</v>
      </c>
      <c r="Q9">
        <v>3.1</v>
      </c>
      <c r="R9" t="s">
        <v>7</v>
      </c>
      <c r="S9" t="s">
        <v>14</v>
      </c>
      <c r="T9">
        <v>3.0001000000000002</v>
      </c>
      <c r="U9" t="s">
        <v>30</v>
      </c>
      <c r="V9">
        <f>K120</f>
        <v>4.3639999999999999</v>
      </c>
      <c r="W9">
        <f>L120</f>
        <v>0.18437000000000001</v>
      </c>
      <c r="X9">
        <f>AVERAGE(K120:K121)</f>
        <v>4.3572500000000005</v>
      </c>
    </row>
    <row r="10" spans="1:37" x14ac:dyDescent="0.35">
      <c r="A10" t="s">
        <v>4</v>
      </c>
      <c r="B10" t="s">
        <v>5</v>
      </c>
      <c r="C10">
        <v>3.03</v>
      </c>
      <c r="D10" t="s">
        <v>9</v>
      </c>
      <c r="F10" t="s">
        <v>7</v>
      </c>
      <c r="G10" t="s">
        <v>5</v>
      </c>
      <c r="H10">
        <v>3.0001199999999999</v>
      </c>
      <c r="I10" t="s">
        <v>9</v>
      </c>
      <c r="K10">
        <v>4.7416</v>
      </c>
      <c r="L10">
        <v>0.13642000000000001</v>
      </c>
      <c r="O10" t="s">
        <v>7</v>
      </c>
      <c r="P10" t="s">
        <v>5</v>
      </c>
      <c r="Q10">
        <v>3.1</v>
      </c>
      <c r="R10" t="s">
        <v>4</v>
      </c>
      <c r="S10" t="s">
        <v>14</v>
      </c>
      <c r="T10">
        <v>3.0001000000000002</v>
      </c>
      <c r="U10" t="s">
        <v>29</v>
      </c>
      <c r="V10">
        <f>K130</f>
        <v>3.0659000000000001</v>
      </c>
      <c r="W10">
        <f>L130</f>
        <v>0.14463999999999999</v>
      </c>
      <c r="X10">
        <f>AVERAGE(K129:K130)</f>
        <v>3.0643000000000002</v>
      </c>
    </row>
    <row r="11" spans="1:37" x14ac:dyDescent="0.35">
      <c r="O11" s="2" t="s">
        <v>7</v>
      </c>
      <c r="P11" s="2" t="s">
        <v>5</v>
      </c>
      <c r="Q11" s="2">
        <v>3.1</v>
      </c>
      <c r="R11" s="2" t="s">
        <v>7</v>
      </c>
      <c r="S11" s="2" t="s">
        <v>5</v>
      </c>
      <c r="T11" s="2">
        <v>3.0001199999999999</v>
      </c>
      <c r="U11" s="2" t="s">
        <v>24</v>
      </c>
      <c r="V11" s="2">
        <f>K80</f>
        <v>4.4340999999999999</v>
      </c>
      <c r="W11" s="2">
        <f>L80</f>
        <v>0.15243000000000001</v>
      </c>
      <c r="X11" s="2">
        <f>AVERAGE(K78:K81)</f>
        <v>4.3651249999999999</v>
      </c>
      <c r="AG11" s="1"/>
    </row>
    <row r="12" spans="1:37" x14ac:dyDescent="0.35">
      <c r="A12" t="s">
        <v>4</v>
      </c>
      <c r="B12" t="s">
        <v>10</v>
      </c>
      <c r="C12">
        <v>3.03</v>
      </c>
      <c r="D12" t="s">
        <v>6</v>
      </c>
      <c r="F12" t="s">
        <v>7</v>
      </c>
      <c r="G12" t="s">
        <v>5</v>
      </c>
      <c r="H12">
        <v>3.0001199999999999</v>
      </c>
      <c r="I12" t="s">
        <v>6</v>
      </c>
      <c r="K12">
        <v>4.1707999999999998</v>
      </c>
      <c r="L12">
        <v>0.20987</v>
      </c>
      <c r="O12" t="s">
        <v>7</v>
      </c>
      <c r="P12" t="s">
        <v>5</v>
      </c>
      <c r="Q12">
        <v>3.1</v>
      </c>
      <c r="R12" t="s">
        <v>4</v>
      </c>
      <c r="S12" t="s">
        <v>5</v>
      </c>
      <c r="T12">
        <v>3.00007</v>
      </c>
      <c r="U12" t="s">
        <v>26</v>
      </c>
      <c r="V12">
        <f>K100</f>
        <v>2.4704000000000002</v>
      </c>
      <c r="W12">
        <f>L100</f>
        <v>0.14216999999999999</v>
      </c>
      <c r="X12">
        <f>AVERAGE(K99:K102)</f>
        <v>2.4272749999999998</v>
      </c>
      <c r="AG12" s="1"/>
    </row>
    <row r="13" spans="1:37" x14ac:dyDescent="0.35">
      <c r="A13" t="s">
        <v>4</v>
      </c>
      <c r="B13" t="s">
        <v>10</v>
      </c>
      <c r="C13">
        <v>3.03</v>
      </c>
      <c r="D13" t="s">
        <v>9</v>
      </c>
      <c r="F13" t="s">
        <v>7</v>
      </c>
      <c r="G13" t="s">
        <v>5</v>
      </c>
      <c r="H13">
        <v>3.0001199999999999</v>
      </c>
      <c r="I13" t="s">
        <v>6</v>
      </c>
      <c r="K13">
        <v>4.3268000000000004</v>
      </c>
      <c r="L13">
        <v>0.16309999999999999</v>
      </c>
      <c r="O13" s="2" t="s">
        <v>7</v>
      </c>
      <c r="P13" s="2" t="s">
        <v>15</v>
      </c>
      <c r="Q13" s="2">
        <v>3.03</v>
      </c>
      <c r="R13" s="2" t="s">
        <v>7</v>
      </c>
      <c r="S13" s="2" t="s">
        <v>5</v>
      </c>
      <c r="T13" s="2">
        <v>3.0001199999999999</v>
      </c>
      <c r="U13" s="3" t="s">
        <v>28</v>
      </c>
      <c r="V13" s="2">
        <f>K96</f>
        <v>4.6589999999999998</v>
      </c>
      <c r="W13" s="2">
        <f>L96</f>
        <v>0.13822000000000001</v>
      </c>
      <c r="X13" s="2">
        <f>AVERAGE(K96:K97)</f>
        <v>4.53545</v>
      </c>
    </row>
    <row r="14" spans="1:37" x14ac:dyDescent="0.35">
      <c r="A14" t="s">
        <v>4</v>
      </c>
      <c r="B14" t="s">
        <v>10</v>
      </c>
      <c r="C14">
        <v>3.03</v>
      </c>
      <c r="D14" t="s">
        <v>6</v>
      </c>
      <c r="F14" t="s">
        <v>7</v>
      </c>
      <c r="G14" t="s">
        <v>5</v>
      </c>
      <c r="H14">
        <v>3.0001199999999999</v>
      </c>
      <c r="I14" t="s">
        <v>9</v>
      </c>
      <c r="K14">
        <v>4.2030000000000003</v>
      </c>
      <c r="L14">
        <v>0.16736000000000001</v>
      </c>
      <c r="O14" t="s">
        <v>7</v>
      </c>
      <c r="P14" t="s">
        <v>15</v>
      </c>
      <c r="Q14">
        <v>3.03</v>
      </c>
      <c r="R14" t="s">
        <v>4</v>
      </c>
      <c r="S14" t="s">
        <v>5</v>
      </c>
      <c r="T14">
        <v>3.00007</v>
      </c>
      <c r="U14" s="1" t="s">
        <v>28</v>
      </c>
      <c r="V14">
        <f>K117</f>
        <v>2.5724999999999998</v>
      </c>
      <c r="W14">
        <f>L117</f>
        <v>0.15440999999999999</v>
      </c>
      <c r="X14">
        <f>AVERAGE(K117:K118)</f>
        <v>2.4626999999999999</v>
      </c>
    </row>
    <row r="15" spans="1:37" x14ac:dyDescent="0.35">
      <c r="A15" t="s">
        <v>4</v>
      </c>
      <c r="B15" t="s">
        <v>10</v>
      </c>
      <c r="C15">
        <v>3.03</v>
      </c>
      <c r="D15" t="s">
        <v>9</v>
      </c>
      <c r="F15" t="s">
        <v>7</v>
      </c>
      <c r="G15" t="s">
        <v>5</v>
      </c>
      <c r="H15">
        <v>3.0001199999999999</v>
      </c>
      <c r="I15" t="s">
        <v>9</v>
      </c>
      <c r="K15">
        <v>4.2222999999999997</v>
      </c>
      <c r="L15">
        <v>0.17921000000000001</v>
      </c>
      <c r="O15" t="s">
        <v>7</v>
      </c>
      <c r="P15" t="s">
        <v>11</v>
      </c>
      <c r="Q15">
        <v>3</v>
      </c>
      <c r="R15" t="s">
        <v>7</v>
      </c>
      <c r="S15" t="s">
        <v>14</v>
      </c>
      <c r="T15">
        <v>3.0001000000000002</v>
      </c>
      <c r="U15" t="s">
        <v>31</v>
      </c>
      <c r="V15">
        <f>K127</f>
        <v>4.3766999999999996</v>
      </c>
      <c r="W15">
        <f>L127</f>
        <v>0.14918000000000001</v>
      </c>
      <c r="X15">
        <f>AVERAGE(K126:K127)</f>
        <v>4.3522999999999996</v>
      </c>
    </row>
    <row r="16" spans="1:37" x14ac:dyDescent="0.35">
      <c r="O16" t="s">
        <v>7</v>
      </c>
      <c r="P16" t="s">
        <v>11</v>
      </c>
      <c r="Q16">
        <v>3</v>
      </c>
      <c r="R16" t="s">
        <v>4</v>
      </c>
      <c r="S16" t="s">
        <v>14</v>
      </c>
      <c r="T16">
        <v>3.0001000000000002</v>
      </c>
      <c r="U16" t="s">
        <v>31</v>
      </c>
      <c r="V16">
        <f>K136</f>
        <v>3.1006999999999998</v>
      </c>
      <c r="W16">
        <f>L136</f>
        <v>0.15553</v>
      </c>
      <c r="X16">
        <f>AVERAGE(K135:K136)</f>
        <v>3.0677500000000002</v>
      </c>
      <c r="AG16" s="1"/>
    </row>
    <row r="17" spans="1:33" x14ac:dyDescent="0.35">
      <c r="A17" t="s">
        <v>4</v>
      </c>
      <c r="B17" t="s">
        <v>11</v>
      </c>
      <c r="C17">
        <v>3</v>
      </c>
      <c r="D17" t="s">
        <v>12</v>
      </c>
      <c r="F17" t="s">
        <v>7</v>
      </c>
      <c r="G17" t="s">
        <v>5</v>
      </c>
      <c r="H17">
        <v>3.0001199999999999</v>
      </c>
      <c r="I17" t="s">
        <v>6</v>
      </c>
      <c r="K17">
        <v>4.5376000000000003</v>
      </c>
      <c r="L17">
        <v>0.20219000000000001</v>
      </c>
      <c r="O17" s="2" t="s">
        <v>7</v>
      </c>
      <c r="P17" s="2" t="s">
        <v>11</v>
      </c>
      <c r="Q17" s="2">
        <v>3</v>
      </c>
      <c r="R17" s="2" t="s">
        <v>7</v>
      </c>
      <c r="S17" s="2" t="s">
        <v>5</v>
      </c>
      <c r="T17" s="2">
        <v>3.0001199999999999</v>
      </c>
      <c r="U17" s="2" t="s">
        <v>36</v>
      </c>
      <c r="V17" s="2">
        <f>K88</f>
        <v>4.5519999999999996</v>
      </c>
      <c r="W17" s="2">
        <f>L88</f>
        <v>0.13428999999999999</v>
      </c>
      <c r="X17" s="2">
        <f>AVERAGE(K88:K91)</f>
        <v>4.4634999999999998</v>
      </c>
      <c r="AG17" s="1"/>
    </row>
    <row r="18" spans="1:33" x14ac:dyDescent="0.35">
      <c r="A18" t="s">
        <v>4</v>
      </c>
      <c r="B18" t="s">
        <v>11</v>
      </c>
      <c r="C18">
        <v>3</v>
      </c>
      <c r="D18" t="s">
        <v>13</v>
      </c>
      <c r="F18" t="s">
        <v>7</v>
      </c>
      <c r="G18" t="s">
        <v>5</v>
      </c>
      <c r="H18">
        <v>3.0001199999999999</v>
      </c>
      <c r="I18" t="s">
        <v>6</v>
      </c>
      <c r="K18">
        <v>4.4448999999999996</v>
      </c>
      <c r="L18">
        <v>0.16722999999999999</v>
      </c>
      <c r="O18" t="s">
        <v>7</v>
      </c>
      <c r="P18" t="s">
        <v>11</v>
      </c>
      <c r="Q18">
        <v>3</v>
      </c>
      <c r="R18" t="s">
        <v>4</v>
      </c>
      <c r="S18" t="s">
        <v>5</v>
      </c>
      <c r="T18">
        <v>3.00007</v>
      </c>
      <c r="U18" t="s">
        <v>36</v>
      </c>
      <c r="V18">
        <f>K109</f>
        <v>2.5131999999999999</v>
      </c>
      <c r="W18">
        <f>L109</f>
        <v>0.16045999999999999</v>
      </c>
      <c r="X18">
        <f>AVERAGE(K109:K112)</f>
        <v>2.4638</v>
      </c>
    </row>
    <row r="19" spans="1:33" x14ac:dyDescent="0.35">
      <c r="A19" t="s">
        <v>4</v>
      </c>
      <c r="B19" t="s">
        <v>11</v>
      </c>
      <c r="C19">
        <v>3</v>
      </c>
      <c r="D19" t="s">
        <v>12</v>
      </c>
      <c r="F19" t="s">
        <v>7</v>
      </c>
      <c r="G19" t="s">
        <v>5</v>
      </c>
      <c r="H19">
        <v>3.0001199999999999</v>
      </c>
      <c r="I19" t="s">
        <v>9</v>
      </c>
      <c r="K19">
        <v>4.6954000000000002</v>
      </c>
      <c r="L19">
        <v>0.13006000000000001</v>
      </c>
      <c r="O19" s="2" t="s">
        <v>4</v>
      </c>
      <c r="P19" s="2" t="s">
        <v>14</v>
      </c>
      <c r="Q19" s="2">
        <v>3.03</v>
      </c>
      <c r="R19" s="2" t="s">
        <v>7</v>
      </c>
      <c r="S19" s="2" t="s">
        <v>5</v>
      </c>
      <c r="T19" s="2">
        <v>3.0001199999999999</v>
      </c>
      <c r="U19" s="3" t="s">
        <v>28</v>
      </c>
      <c r="V19" s="2">
        <f>K22</f>
        <v>4.7275999999999998</v>
      </c>
      <c r="W19" s="2">
        <f>L22</f>
        <v>0.17494999999999999</v>
      </c>
      <c r="X19" s="2">
        <f>AVERAGE(K22:K23)</f>
        <v>4.7134999999999998</v>
      </c>
    </row>
    <row r="20" spans="1:33" x14ac:dyDescent="0.35">
      <c r="A20" t="s">
        <v>4</v>
      </c>
      <c r="B20" t="s">
        <v>11</v>
      </c>
      <c r="C20">
        <v>3</v>
      </c>
      <c r="D20" t="s">
        <v>13</v>
      </c>
      <c r="F20" t="s">
        <v>7</v>
      </c>
      <c r="G20" t="s">
        <v>5</v>
      </c>
      <c r="H20">
        <v>3.0001199999999999</v>
      </c>
      <c r="I20" t="s">
        <v>9</v>
      </c>
      <c r="K20">
        <v>4.7394999999999996</v>
      </c>
      <c r="L20">
        <v>0.13866000000000001</v>
      </c>
      <c r="O20" t="s">
        <v>4</v>
      </c>
      <c r="P20" t="s">
        <v>14</v>
      </c>
      <c r="Q20">
        <v>3.03</v>
      </c>
      <c r="R20" t="s">
        <v>4</v>
      </c>
      <c r="S20" t="s">
        <v>5</v>
      </c>
      <c r="T20">
        <v>3.00007</v>
      </c>
      <c r="U20" s="1" t="s">
        <v>28</v>
      </c>
      <c r="V20">
        <f>K48</f>
        <v>2.6440000000000001</v>
      </c>
      <c r="W20">
        <f>L48</f>
        <v>0.17029</v>
      </c>
      <c r="X20">
        <f>AVERAGE(K48:K49)</f>
        <v>2.6430500000000001</v>
      </c>
    </row>
    <row r="21" spans="1:33" x14ac:dyDescent="0.35">
      <c r="O21" t="s">
        <v>4</v>
      </c>
      <c r="P21" t="s">
        <v>5</v>
      </c>
      <c r="Q21">
        <v>3.03</v>
      </c>
      <c r="R21" t="s">
        <v>7</v>
      </c>
      <c r="S21" t="s">
        <v>14</v>
      </c>
      <c r="T21">
        <v>3.0001000000000002</v>
      </c>
      <c r="U21" t="s">
        <v>29</v>
      </c>
      <c r="V21">
        <f>K58</f>
        <v>4.5522</v>
      </c>
      <c r="W21">
        <f>L58</f>
        <v>0.13808000000000001</v>
      </c>
      <c r="X21">
        <f>AVERAGE(K57:K58)</f>
        <v>4.5049999999999999</v>
      </c>
    </row>
    <row r="22" spans="1:33" x14ac:dyDescent="0.35">
      <c r="A22" t="s">
        <v>4</v>
      </c>
      <c r="B22" t="s">
        <v>14</v>
      </c>
      <c r="C22">
        <v>3.03</v>
      </c>
      <c r="F22" t="s">
        <v>7</v>
      </c>
      <c r="G22" t="s">
        <v>5</v>
      </c>
      <c r="H22">
        <v>3.0001199999999999</v>
      </c>
      <c r="I22" t="s">
        <v>6</v>
      </c>
      <c r="K22">
        <v>4.7275999999999998</v>
      </c>
      <c r="L22">
        <v>0.17494999999999999</v>
      </c>
      <c r="O22" t="s">
        <v>4</v>
      </c>
      <c r="P22" t="s">
        <v>5</v>
      </c>
      <c r="Q22">
        <v>3.03</v>
      </c>
      <c r="R22" t="s">
        <v>4</v>
      </c>
      <c r="S22" t="s">
        <v>14</v>
      </c>
      <c r="T22">
        <v>3.0001000000000002</v>
      </c>
      <c r="U22" t="s">
        <v>29</v>
      </c>
      <c r="V22">
        <f>K70</f>
        <v>3.2193000000000001</v>
      </c>
      <c r="W22">
        <f>L70</f>
        <v>0.13789000000000001</v>
      </c>
      <c r="X22">
        <f>AVERAGE(K69:K70)</f>
        <v>3.1875</v>
      </c>
    </row>
    <row r="23" spans="1:33" x14ac:dyDescent="0.35">
      <c r="A23" t="s">
        <v>4</v>
      </c>
      <c r="B23" t="s">
        <v>14</v>
      </c>
      <c r="C23">
        <v>3.03</v>
      </c>
      <c r="F23" t="s">
        <v>7</v>
      </c>
      <c r="G23" t="s">
        <v>5</v>
      </c>
      <c r="H23">
        <v>3.0001199999999999</v>
      </c>
      <c r="I23" t="s">
        <v>9</v>
      </c>
      <c r="K23">
        <v>4.6993999999999998</v>
      </c>
      <c r="L23">
        <v>0.1686</v>
      </c>
      <c r="O23" s="2" t="s">
        <v>4</v>
      </c>
      <c r="P23" s="2" t="s">
        <v>5</v>
      </c>
      <c r="Q23" s="2">
        <v>3.03</v>
      </c>
      <c r="R23" s="2" t="s">
        <v>7</v>
      </c>
      <c r="S23" s="2" t="s">
        <v>5</v>
      </c>
      <c r="T23" s="2">
        <v>3.0001199999999999</v>
      </c>
      <c r="U23" s="2" t="s">
        <v>25</v>
      </c>
      <c r="V23" s="2">
        <f>K10</f>
        <v>4.7416</v>
      </c>
      <c r="W23" s="2">
        <f>L10</f>
        <v>0.13642000000000001</v>
      </c>
      <c r="X23" s="2">
        <f>AVERAGE(K7:K10)</f>
        <v>4.652075</v>
      </c>
    </row>
    <row r="24" spans="1:33" x14ac:dyDescent="0.35">
      <c r="O24" t="s">
        <v>4</v>
      </c>
      <c r="P24" t="s">
        <v>5</v>
      </c>
      <c r="Q24">
        <v>3.03</v>
      </c>
      <c r="R24" t="s">
        <v>4</v>
      </c>
      <c r="S24" t="s">
        <v>5</v>
      </c>
      <c r="T24">
        <v>3.00007</v>
      </c>
      <c r="U24" t="s">
        <v>26</v>
      </c>
      <c r="V24">
        <f>K34</f>
        <v>2.6269</v>
      </c>
      <c r="W24">
        <f>L34</f>
        <v>0.14488000000000001</v>
      </c>
      <c r="X24">
        <f>AVERAGE(K33:K36)</f>
        <v>2.582325</v>
      </c>
      <c r="AG24" s="1"/>
    </row>
    <row r="25" spans="1:33" x14ac:dyDescent="0.35">
      <c r="A25" t="s">
        <v>4</v>
      </c>
      <c r="B25" t="s">
        <v>15</v>
      </c>
      <c r="C25">
        <v>3.03</v>
      </c>
      <c r="F25" t="s">
        <v>7</v>
      </c>
      <c r="G25" t="s">
        <v>5</v>
      </c>
      <c r="H25">
        <v>3.0001199999999999</v>
      </c>
      <c r="I25" t="s">
        <v>6</v>
      </c>
      <c r="K25">
        <v>4.3794000000000004</v>
      </c>
      <c r="L25">
        <v>0.1691</v>
      </c>
      <c r="O25" t="s">
        <v>4</v>
      </c>
      <c r="P25" t="s">
        <v>5</v>
      </c>
      <c r="Q25">
        <v>3.1</v>
      </c>
      <c r="R25" t="s">
        <v>7</v>
      </c>
      <c r="S25" t="s">
        <v>14</v>
      </c>
      <c r="T25">
        <v>3.0001000000000002</v>
      </c>
      <c r="U25" t="s">
        <v>29</v>
      </c>
      <c r="V25">
        <f>K55</f>
        <v>4.6767000000000003</v>
      </c>
      <c r="W25">
        <f>L55</f>
        <v>0.13316</v>
      </c>
      <c r="X25">
        <f>AVERAGE(K54:K55)</f>
        <v>4.6625499999999995</v>
      </c>
      <c r="AG25" s="1"/>
    </row>
    <row r="26" spans="1:33" x14ac:dyDescent="0.35">
      <c r="A26" t="s">
        <v>4</v>
      </c>
      <c r="B26" t="s">
        <v>15</v>
      </c>
      <c r="C26">
        <v>3.03</v>
      </c>
      <c r="F26" t="s">
        <v>7</v>
      </c>
      <c r="G26" t="s">
        <v>5</v>
      </c>
      <c r="H26">
        <v>3.0001199999999999</v>
      </c>
      <c r="I26" t="s">
        <v>9</v>
      </c>
      <c r="K26">
        <v>4.2770000000000001</v>
      </c>
      <c r="L26">
        <v>0.15162</v>
      </c>
      <c r="O26" t="s">
        <v>4</v>
      </c>
      <c r="P26" t="s">
        <v>5</v>
      </c>
      <c r="Q26">
        <v>3.1</v>
      </c>
      <c r="R26" t="s">
        <v>4</v>
      </c>
      <c r="S26" t="s">
        <v>14</v>
      </c>
      <c r="T26">
        <v>3.0001000000000002</v>
      </c>
      <c r="U26" t="s">
        <v>29</v>
      </c>
      <c r="V26">
        <f>K67</f>
        <v>3.3008999999999999</v>
      </c>
      <c r="W26">
        <f>L67</f>
        <v>0.12973000000000001</v>
      </c>
      <c r="X26">
        <f>AVERAGE(K66:K67)</f>
        <v>3.3005</v>
      </c>
    </row>
    <row r="27" spans="1:33" x14ac:dyDescent="0.35">
      <c r="O27" s="5" t="s">
        <v>4</v>
      </c>
      <c r="P27" s="5" t="s">
        <v>5</v>
      </c>
      <c r="Q27" s="5">
        <v>3.1</v>
      </c>
      <c r="R27" s="5" t="s">
        <v>7</v>
      </c>
      <c r="S27" s="5" t="s">
        <v>5</v>
      </c>
      <c r="T27" s="5">
        <v>3.0001199999999999</v>
      </c>
      <c r="U27" s="5" t="s">
        <v>24</v>
      </c>
      <c r="V27" s="5">
        <f>K4</f>
        <v>4.7759999999999998</v>
      </c>
      <c r="W27" s="5">
        <f>L4</f>
        <v>0.13532</v>
      </c>
      <c r="X27" s="5">
        <f>AVERAGE(K2:K5)</f>
        <v>4.7071499999999995</v>
      </c>
    </row>
    <row r="28" spans="1:33" x14ac:dyDescent="0.35">
      <c r="A28" t="s">
        <v>4</v>
      </c>
      <c r="B28" t="s">
        <v>5</v>
      </c>
      <c r="C28">
        <v>3.1</v>
      </c>
      <c r="D28" t="s">
        <v>6</v>
      </c>
      <c r="F28" t="s">
        <v>4</v>
      </c>
      <c r="G28" t="s">
        <v>5</v>
      </c>
      <c r="H28">
        <v>3.00007</v>
      </c>
      <c r="I28" t="s">
        <v>6</v>
      </c>
      <c r="K28">
        <v>2.6722999999999999</v>
      </c>
      <c r="L28">
        <v>0.13930999999999999</v>
      </c>
      <c r="O28" s="2" t="s">
        <v>4</v>
      </c>
      <c r="P28" s="2" t="s">
        <v>5</v>
      </c>
      <c r="Q28" s="2">
        <v>3.1</v>
      </c>
      <c r="R28" s="2" t="s">
        <v>4</v>
      </c>
      <c r="S28" s="2" t="s">
        <v>5</v>
      </c>
      <c r="T28" s="2">
        <v>3.00007</v>
      </c>
      <c r="U28" s="2" t="s">
        <v>24</v>
      </c>
      <c r="V28" s="2">
        <f>K30</f>
        <v>2.7084000000000001</v>
      </c>
      <c r="W28" s="2">
        <f>L30</f>
        <v>0.14631</v>
      </c>
      <c r="X28" s="2">
        <f>AVERAGE(K28:K31)</f>
        <v>2.66405</v>
      </c>
    </row>
    <row r="29" spans="1:33" x14ac:dyDescent="0.35">
      <c r="A29" t="s">
        <v>4</v>
      </c>
      <c r="B29" t="s">
        <v>5</v>
      </c>
      <c r="C29">
        <v>3.1</v>
      </c>
      <c r="D29" t="s">
        <v>9</v>
      </c>
      <c r="F29" t="s">
        <v>4</v>
      </c>
      <c r="G29" t="s">
        <v>5</v>
      </c>
      <c r="H29">
        <v>3.00007</v>
      </c>
      <c r="I29" t="s">
        <v>6</v>
      </c>
      <c r="K29">
        <v>2.6833999999999998</v>
      </c>
      <c r="L29">
        <v>0.14824999999999999</v>
      </c>
      <c r="O29" s="2" t="s">
        <v>4</v>
      </c>
      <c r="P29" s="2" t="s">
        <v>15</v>
      </c>
      <c r="Q29" s="2">
        <v>3.03</v>
      </c>
      <c r="R29" s="2" t="s">
        <v>7</v>
      </c>
      <c r="S29" s="2" t="s">
        <v>5</v>
      </c>
      <c r="T29" s="2">
        <v>3.0001199999999999</v>
      </c>
      <c r="U29" s="3" t="s">
        <v>28</v>
      </c>
      <c r="V29" s="2">
        <f>K25</f>
        <v>4.3794000000000004</v>
      </c>
      <c r="W29" s="2">
        <f>L25</f>
        <v>0.1691</v>
      </c>
      <c r="X29" s="2">
        <f>AVERAGE(K25:K26)</f>
        <v>4.3282000000000007</v>
      </c>
    </row>
    <row r="30" spans="1:33" x14ac:dyDescent="0.35">
      <c r="A30" t="s">
        <v>4</v>
      </c>
      <c r="B30" t="s">
        <v>5</v>
      </c>
      <c r="C30">
        <v>3.1</v>
      </c>
      <c r="D30" t="s">
        <v>6</v>
      </c>
      <c r="F30" t="s">
        <v>4</v>
      </c>
      <c r="G30" t="s">
        <v>5</v>
      </c>
      <c r="H30">
        <v>3.00007</v>
      </c>
      <c r="I30" t="s">
        <v>9</v>
      </c>
      <c r="K30">
        <v>2.7084000000000001</v>
      </c>
      <c r="L30">
        <v>0.14631</v>
      </c>
      <c r="O30" t="s">
        <v>4</v>
      </c>
      <c r="P30" t="s">
        <v>15</v>
      </c>
      <c r="Q30">
        <v>3.03</v>
      </c>
      <c r="R30" t="s">
        <v>4</v>
      </c>
      <c r="S30" t="s">
        <v>5</v>
      </c>
      <c r="T30">
        <v>3.00007</v>
      </c>
      <c r="U30" s="1" t="s">
        <v>28</v>
      </c>
      <c r="V30">
        <f>K51</f>
        <v>2.3832</v>
      </c>
      <c r="W30">
        <f>L51</f>
        <v>0.19857</v>
      </c>
      <c r="X30">
        <f>AVERAGE(K51:K52)</f>
        <v>2.3462499999999999</v>
      </c>
    </row>
    <row r="31" spans="1:33" x14ac:dyDescent="0.35">
      <c r="A31" t="s">
        <v>4</v>
      </c>
      <c r="B31" t="s">
        <v>5</v>
      </c>
      <c r="C31">
        <v>3.1</v>
      </c>
      <c r="D31" t="s">
        <v>9</v>
      </c>
      <c r="F31" t="s">
        <v>4</v>
      </c>
      <c r="G31" t="s">
        <v>5</v>
      </c>
      <c r="H31">
        <v>3.00007</v>
      </c>
      <c r="I31" t="s">
        <v>9</v>
      </c>
      <c r="K31">
        <v>2.5920999999999998</v>
      </c>
      <c r="L31">
        <v>0.15915000000000001</v>
      </c>
      <c r="O31" t="s">
        <v>4</v>
      </c>
      <c r="P31" t="s">
        <v>11</v>
      </c>
      <c r="Q31">
        <v>3</v>
      </c>
      <c r="R31" t="s">
        <v>7</v>
      </c>
      <c r="S31" t="s">
        <v>14</v>
      </c>
      <c r="T31">
        <v>3.0001000000000002</v>
      </c>
      <c r="U31" t="s">
        <v>31</v>
      </c>
      <c r="V31">
        <f>K63</f>
        <v>4.6193</v>
      </c>
      <c r="W31">
        <f>L63</f>
        <v>0.1348</v>
      </c>
      <c r="X31">
        <f>AVERAGE(K63:K64)</f>
        <v>4.6103000000000005</v>
      </c>
    </row>
    <row r="32" spans="1:33" x14ac:dyDescent="0.35">
      <c r="O32" s="2" t="s">
        <v>4</v>
      </c>
      <c r="P32" s="2" t="s">
        <v>11</v>
      </c>
      <c r="Q32" s="2">
        <v>3</v>
      </c>
      <c r="R32" s="2" t="s">
        <v>4</v>
      </c>
      <c r="S32" s="2" t="s">
        <v>14</v>
      </c>
      <c r="T32" s="2">
        <v>3.0001000000000002</v>
      </c>
      <c r="U32" s="2" t="s">
        <v>31</v>
      </c>
      <c r="V32" s="2">
        <f>K75</f>
        <v>3.2934999999999999</v>
      </c>
      <c r="W32" s="2">
        <f>L75</f>
        <v>0.14982000000000001</v>
      </c>
      <c r="X32" s="2">
        <f>AVERAGE(K75:K76)</f>
        <v>3.2801</v>
      </c>
    </row>
    <row r="33" spans="1:24" x14ac:dyDescent="0.35">
      <c r="A33" t="s">
        <v>4</v>
      </c>
      <c r="B33" t="s">
        <v>5</v>
      </c>
      <c r="C33">
        <v>3.03</v>
      </c>
      <c r="D33" t="s">
        <v>6</v>
      </c>
      <c r="F33" t="s">
        <v>4</v>
      </c>
      <c r="G33" t="s">
        <v>5</v>
      </c>
      <c r="H33">
        <v>3.00007</v>
      </c>
      <c r="I33" t="s">
        <v>6</v>
      </c>
      <c r="K33">
        <v>2.5284</v>
      </c>
      <c r="L33">
        <v>0.16067000000000001</v>
      </c>
      <c r="O33" s="2" t="s">
        <v>4</v>
      </c>
      <c r="P33" s="2" t="s">
        <v>11</v>
      </c>
      <c r="Q33" s="2">
        <v>3</v>
      </c>
      <c r="R33" s="2" t="s">
        <v>7</v>
      </c>
      <c r="S33" s="2" t="s">
        <v>5</v>
      </c>
      <c r="T33" s="2">
        <v>3.0001199999999999</v>
      </c>
      <c r="U33" s="2" t="s">
        <v>27</v>
      </c>
      <c r="V33" s="2">
        <f>K20</f>
        <v>4.7394999999999996</v>
      </c>
      <c r="W33" s="2">
        <f>L20</f>
        <v>0.13866000000000001</v>
      </c>
      <c r="X33" s="2">
        <f>AVERAGE(K17:K20)</f>
        <v>4.6043500000000002</v>
      </c>
    </row>
    <row r="34" spans="1:24" x14ac:dyDescent="0.35">
      <c r="A34" t="s">
        <v>4</v>
      </c>
      <c r="B34" t="s">
        <v>5</v>
      </c>
      <c r="C34">
        <v>3.03</v>
      </c>
      <c r="D34" t="s">
        <v>9</v>
      </c>
      <c r="F34" t="s">
        <v>4</v>
      </c>
      <c r="G34" t="s">
        <v>5</v>
      </c>
      <c r="H34">
        <v>3.00007</v>
      </c>
      <c r="I34" t="s">
        <v>6</v>
      </c>
      <c r="K34">
        <v>2.6269</v>
      </c>
      <c r="L34">
        <v>0.14488000000000001</v>
      </c>
      <c r="O34" t="s">
        <v>4</v>
      </c>
      <c r="P34" t="s">
        <v>11</v>
      </c>
      <c r="Q34">
        <v>3</v>
      </c>
      <c r="R34" t="s">
        <v>4</v>
      </c>
      <c r="S34" t="s">
        <v>5</v>
      </c>
      <c r="T34">
        <v>3.00007</v>
      </c>
      <c r="U34" t="s">
        <v>27</v>
      </c>
      <c r="V34">
        <f>K46</f>
        <v>2.7031000000000001</v>
      </c>
      <c r="W34">
        <f>L46</f>
        <v>0.16916</v>
      </c>
      <c r="X34">
        <f>AVERAGE(K43:K46)</f>
        <v>2.6173000000000002</v>
      </c>
    </row>
    <row r="35" spans="1:24" x14ac:dyDescent="0.35">
      <c r="A35" t="s">
        <v>4</v>
      </c>
      <c r="B35" t="s">
        <v>5</v>
      </c>
      <c r="C35">
        <v>3.03</v>
      </c>
      <c r="D35" t="s">
        <v>6</v>
      </c>
      <c r="F35" t="s">
        <v>4</v>
      </c>
      <c r="G35" t="s">
        <v>5</v>
      </c>
      <c r="H35">
        <v>3.00007</v>
      </c>
      <c r="I35" t="s">
        <v>9</v>
      </c>
      <c r="K35">
        <v>2.5548000000000002</v>
      </c>
      <c r="L35">
        <v>0.14161000000000001</v>
      </c>
      <c r="O35" s="2" t="s">
        <v>4</v>
      </c>
      <c r="P35" s="2" t="s">
        <v>10</v>
      </c>
      <c r="Q35" s="2">
        <v>3.03</v>
      </c>
      <c r="R35" s="2" t="s">
        <v>7</v>
      </c>
      <c r="S35" s="2" t="s">
        <v>14</v>
      </c>
      <c r="T35" s="2">
        <v>3.0001000000000002</v>
      </c>
      <c r="U35" s="2" t="s">
        <v>30</v>
      </c>
      <c r="V35" s="2">
        <f>K60</f>
        <v>4.2013999999999996</v>
      </c>
      <c r="W35" s="2">
        <f>L60</f>
        <v>0.18679999999999999</v>
      </c>
      <c r="X35" s="2">
        <f>AVERAGE(K60:K61)</f>
        <v>4.1791499999999999</v>
      </c>
    </row>
    <row r="36" spans="1:24" x14ac:dyDescent="0.35">
      <c r="A36" t="s">
        <v>4</v>
      </c>
      <c r="B36" t="s">
        <v>5</v>
      </c>
      <c r="C36">
        <v>3.03</v>
      </c>
      <c r="D36" t="s">
        <v>9</v>
      </c>
      <c r="F36" t="s">
        <v>4</v>
      </c>
      <c r="G36" t="s">
        <v>5</v>
      </c>
      <c r="H36">
        <v>3.00007</v>
      </c>
      <c r="I36" t="s">
        <v>9</v>
      </c>
      <c r="K36">
        <v>2.6192000000000002</v>
      </c>
      <c r="L36">
        <v>0.14624000000000001</v>
      </c>
      <c r="O36" t="s">
        <v>4</v>
      </c>
      <c r="P36" t="s">
        <v>10</v>
      </c>
      <c r="Q36">
        <v>3.03</v>
      </c>
      <c r="R36" t="s">
        <v>4</v>
      </c>
      <c r="S36" t="s">
        <v>14</v>
      </c>
      <c r="T36">
        <v>3.0001000000000002</v>
      </c>
      <c r="U36" t="s">
        <v>30</v>
      </c>
      <c r="V36">
        <f>K72</f>
        <v>2.9643000000000002</v>
      </c>
      <c r="W36">
        <f>L72</f>
        <v>0.21267</v>
      </c>
      <c r="X36">
        <f>AVERAGE(K72:K73)</f>
        <v>2.9408000000000003</v>
      </c>
    </row>
    <row r="37" spans="1:24" x14ac:dyDescent="0.35">
      <c r="O37" s="2" t="s">
        <v>4</v>
      </c>
      <c r="P37" s="2" t="s">
        <v>10</v>
      </c>
      <c r="Q37" s="2">
        <v>3.03</v>
      </c>
      <c r="R37" s="2" t="s">
        <v>7</v>
      </c>
      <c r="S37" s="2" t="s">
        <v>5</v>
      </c>
      <c r="T37" s="2">
        <v>3.0001199999999999</v>
      </c>
      <c r="U37" s="2" t="s">
        <v>26</v>
      </c>
      <c r="V37" s="2">
        <f>K13</f>
        <v>4.3268000000000004</v>
      </c>
      <c r="W37" s="2">
        <f>L13</f>
        <v>0.16309999999999999</v>
      </c>
      <c r="X37" s="2">
        <f>AVERAGE(K12:K15)</f>
        <v>4.2307250000000005</v>
      </c>
    </row>
    <row r="38" spans="1:24" x14ac:dyDescent="0.35">
      <c r="A38" t="s">
        <v>4</v>
      </c>
      <c r="B38" t="s">
        <v>10</v>
      </c>
      <c r="C38">
        <v>3.03</v>
      </c>
      <c r="D38" t="s">
        <v>6</v>
      </c>
      <c r="F38" t="s">
        <v>4</v>
      </c>
      <c r="G38" t="s">
        <v>5</v>
      </c>
      <c r="H38">
        <v>3.00007</v>
      </c>
      <c r="I38" t="s">
        <v>6</v>
      </c>
      <c r="K38">
        <v>2.3298999999999999</v>
      </c>
      <c r="L38">
        <v>0.17368</v>
      </c>
      <c r="O38" t="s">
        <v>4</v>
      </c>
      <c r="P38" t="s">
        <v>10</v>
      </c>
      <c r="Q38">
        <v>3.03</v>
      </c>
      <c r="R38" t="s">
        <v>4</v>
      </c>
      <c r="S38" t="s">
        <v>5</v>
      </c>
      <c r="T38">
        <v>3.00007</v>
      </c>
      <c r="U38" t="s">
        <v>26</v>
      </c>
      <c r="V38">
        <f>K39</f>
        <v>2.3801999999999999</v>
      </c>
      <c r="W38">
        <f>L39</f>
        <v>0.17341000000000001</v>
      </c>
      <c r="X38">
        <f>AVERAGE(K38:K41)</f>
        <v>2.2891499999999998</v>
      </c>
    </row>
    <row r="39" spans="1:24" x14ac:dyDescent="0.35">
      <c r="A39" t="s">
        <v>4</v>
      </c>
      <c r="B39" t="s">
        <v>10</v>
      </c>
      <c r="C39">
        <v>3.03</v>
      </c>
      <c r="D39" t="s">
        <v>9</v>
      </c>
      <c r="F39" t="s">
        <v>4</v>
      </c>
      <c r="G39" t="s">
        <v>5</v>
      </c>
      <c r="H39">
        <v>3.00007</v>
      </c>
      <c r="I39" t="s">
        <v>6</v>
      </c>
      <c r="K39">
        <v>2.3801999999999999</v>
      </c>
      <c r="L39">
        <v>0.17341000000000001</v>
      </c>
    </row>
    <row r="40" spans="1:24" x14ac:dyDescent="0.35">
      <c r="A40" t="s">
        <v>4</v>
      </c>
      <c r="B40" t="s">
        <v>10</v>
      </c>
      <c r="C40">
        <v>3.03</v>
      </c>
      <c r="D40" t="s">
        <v>6</v>
      </c>
      <c r="F40" t="s">
        <v>4</v>
      </c>
      <c r="G40" t="s">
        <v>5</v>
      </c>
      <c r="H40">
        <v>3.00007</v>
      </c>
      <c r="I40" t="s">
        <v>9</v>
      </c>
      <c r="K40">
        <v>2.2033</v>
      </c>
      <c r="L40">
        <v>0.16464999999999999</v>
      </c>
    </row>
    <row r="41" spans="1:24" x14ac:dyDescent="0.35">
      <c r="A41" t="s">
        <v>4</v>
      </c>
      <c r="B41" t="s">
        <v>10</v>
      </c>
      <c r="C41">
        <v>3.03</v>
      </c>
      <c r="D41" t="s">
        <v>9</v>
      </c>
      <c r="F41" t="s">
        <v>4</v>
      </c>
      <c r="G41" t="s">
        <v>5</v>
      </c>
      <c r="H41">
        <v>3.00007</v>
      </c>
      <c r="I41" t="s">
        <v>9</v>
      </c>
      <c r="K41">
        <v>2.2431999999999999</v>
      </c>
      <c r="L41">
        <v>0.14885000000000001</v>
      </c>
    </row>
    <row r="43" spans="1:24" x14ac:dyDescent="0.35">
      <c r="A43" t="s">
        <v>4</v>
      </c>
      <c r="B43" t="s">
        <v>11</v>
      </c>
      <c r="C43">
        <v>3</v>
      </c>
      <c r="D43" t="s">
        <v>12</v>
      </c>
      <c r="F43" t="s">
        <v>4</v>
      </c>
      <c r="G43" t="s">
        <v>5</v>
      </c>
      <c r="H43">
        <v>3.00007</v>
      </c>
      <c r="I43" t="s">
        <v>6</v>
      </c>
      <c r="K43">
        <v>2.6591</v>
      </c>
      <c r="L43">
        <v>0.1656</v>
      </c>
    </row>
    <row r="44" spans="1:24" x14ac:dyDescent="0.35">
      <c r="A44" t="s">
        <v>4</v>
      </c>
      <c r="B44" t="s">
        <v>11</v>
      </c>
      <c r="C44">
        <v>3</v>
      </c>
      <c r="D44" t="s">
        <v>13</v>
      </c>
      <c r="F44" t="s">
        <v>4</v>
      </c>
      <c r="G44" t="s">
        <v>5</v>
      </c>
      <c r="H44">
        <v>3.00007</v>
      </c>
      <c r="I44" t="s">
        <v>6</v>
      </c>
      <c r="K44">
        <v>2.4824999999999999</v>
      </c>
      <c r="L44">
        <v>0.19863</v>
      </c>
    </row>
    <row r="45" spans="1:24" x14ac:dyDescent="0.35">
      <c r="A45" t="s">
        <v>4</v>
      </c>
      <c r="B45" t="s">
        <v>11</v>
      </c>
      <c r="C45">
        <v>3</v>
      </c>
      <c r="D45" t="s">
        <v>12</v>
      </c>
      <c r="F45" t="s">
        <v>4</v>
      </c>
      <c r="G45" t="s">
        <v>5</v>
      </c>
      <c r="H45">
        <v>3.00007</v>
      </c>
      <c r="I45" t="s">
        <v>9</v>
      </c>
      <c r="K45">
        <v>2.6244999999999998</v>
      </c>
      <c r="L45">
        <v>0.13805000000000001</v>
      </c>
    </row>
    <row r="46" spans="1:24" x14ac:dyDescent="0.35">
      <c r="A46" t="s">
        <v>4</v>
      </c>
      <c r="B46" t="s">
        <v>11</v>
      </c>
      <c r="C46">
        <v>3</v>
      </c>
      <c r="D46" t="s">
        <v>13</v>
      </c>
      <c r="F46" t="s">
        <v>4</v>
      </c>
      <c r="G46" t="s">
        <v>5</v>
      </c>
      <c r="H46">
        <v>3.00007</v>
      </c>
      <c r="I46" t="s">
        <v>9</v>
      </c>
      <c r="K46">
        <v>2.7031000000000001</v>
      </c>
      <c r="L46">
        <v>0.16916</v>
      </c>
    </row>
    <row r="48" spans="1:24" x14ac:dyDescent="0.35">
      <c r="A48" t="s">
        <v>4</v>
      </c>
      <c r="B48" t="s">
        <v>14</v>
      </c>
      <c r="C48">
        <v>3.03</v>
      </c>
      <c r="F48" t="s">
        <v>4</v>
      </c>
      <c r="G48" t="s">
        <v>5</v>
      </c>
      <c r="H48">
        <v>3.00007</v>
      </c>
      <c r="I48" t="s">
        <v>6</v>
      </c>
      <c r="K48">
        <v>2.6440000000000001</v>
      </c>
      <c r="L48">
        <v>0.17029</v>
      </c>
    </row>
    <row r="49" spans="1:12" x14ac:dyDescent="0.35">
      <c r="A49" t="s">
        <v>4</v>
      </c>
      <c r="B49" t="s">
        <v>14</v>
      </c>
      <c r="C49">
        <v>3.03</v>
      </c>
      <c r="F49" t="s">
        <v>4</v>
      </c>
      <c r="G49" t="s">
        <v>5</v>
      </c>
      <c r="H49">
        <v>3.00007</v>
      </c>
      <c r="I49" t="s">
        <v>9</v>
      </c>
      <c r="K49">
        <v>2.6421000000000001</v>
      </c>
      <c r="L49">
        <v>0.19047</v>
      </c>
    </row>
    <row r="51" spans="1:12" x14ac:dyDescent="0.35">
      <c r="A51" t="s">
        <v>4</v>
      </c>
      <c r="B51" t="s">
        <v>15</v>
      </c>
      <c r="C51">
        <v>3.03</v>
      </c>
      <c r="F51" t="s">
        <v>4</v>
      </c>
      <c r="G51" t="s">
        <v>5</v>
      </c>
      <c r="H51">
        <v>3.00007</v>
      </c>
      <c r="I51" t="s">
        <v>6</v>
      </c>
      <c r="K51">
        <v>2.3832</v>
      </c>
      <c r="L51">
        <v>0.19857</v>
      </c>
    </row>
    <row r="52" spans="1:12" x14ac:dyDescent="0.35">
      <c r="A52" t="s">
        <v>4</v>
      </c>
      <c r="B52" t="s">
        <v>15</v>
      </c>
      <c r="C52">
        <v>3.03</v>
      </c>
      <c r="F52" t="s">
        <v>4</v>
      </c>
      <c r="G52" t="s">
        <v>5</v>
      </c>
      <c r="H52">
        <v>3.00007</v>
      </c>
      <c r="I52" t="s">
        <v>9</v>
      </c>
      <c r="K52">
        <v>2.3092999999999999</v>
      </c>
      <c r="L52">
        <v>0.16152</v>
      </c>
    </row>
    <row r="54" spans="1:12" x14ac:dyDescent="0.35">
      <c r="A54" t="s">
        <v>4</v>
      </c>
      <c r="B54" t="s">
        <v>5</v>
      </c>
      <c r="C54">
        <v>3.1</v>
      </c>
      <c r="D54" t="s">
        <v>6</v>
      </c>
      <c r="F54" t="s">
        <v>7</v>
      </c>
      <c r="G54" t="s">
        <v>14</v>
      </c>
      <c r="H54">
        <v>3.0001000000000002</v>
      </c>
      <c r="K54">
        <v>4.6483999999999996</v>
      </c>
      <c r="L54">
        <v>0.13381999999999999</v>
      </c>
    </row>
    <row r="55" spans="1:12" x14ac:dyDescent="0.35">
      <c r="A55" t="s">
        <v>4</v>
      </c>
      <c r="B55" t="s">
        <v>5</v>
      </c>
      <c r="C55">
        <v>3.1</v>
      </c>
      <c r="D55" t="s">
        <v>9</v>
      </c>
      <c r="F55" t="s">
        <v>7</v>
      </c>
      <c r="G55" t="s">
        <v>14</v>
      </c>
      <c r="H55">
        <v>3.0001000000000002</v>
      </c>
      <c r="K55">
        <v>4.6767000000000003</v>
      </c>
      <c r="L55">
        <v>0.13316</v>
      </c>
    </row>
    <row r="57" spans="1:12" x14ac:dyDescent="0.35">
      <c r="A57" t="s">
        <v>4</v>
      </c>
      <c r="B57" t="s">
        <v>5</v>
      </c>
      <c r="C57">
        <v>3.03</v>
      </c>
      <c r="D57" t="s">
        <v>6</v>
      </c>
      <c r="F57" t="s">
        <v>7</v>
      </c>
      <c r="G57" t="s">
        <v>14</v>
      </c>
      <c r="H57">
        <v>3.0001000000000002</v>
      </c>
      <c r="K57">
        <v>4.4577999999999998</v>
      </c>
      <c r="L57">
        <v>0.14998</v>
      </c>
    </row>
    <row r="58" spans="1:12" x14ac:dyDescent="0.35">
      <c r="A58" t="s">
        <v>4</v>
      </c>
      <c r="B58" t="s">
        <v>5</v>
      </c>
      <c r="C58">
        <v>3.03</v>
      </c>
      <c r="D58" t="s">
        <v>9</v>
      </c>
      <c r="F58" t="s">
        <v>7</v>
      </c>
      <c r="G58" t="s">
        <v>14</v>
      </c>
      <c r="H58">
        <v>3.0001000000000002</v>
      </c>
      <c r="K58">
        <v>4.5522</v>
      </c>
      <c r="L58">
        <v>0.13808000000000001</v>
      </c>
    </row>
    <row r="60" spans="1:12" x14ac:dyDescent="0.35">
      <c r="A60" t="s">
        <v>4</v>
      </c>
      <c r="B60" t="s">
        <v>10</v>
      </c>
      <c r="C60">
        <v>3.03</v>
      </c>
      <c r="D60" t="s">
        <v>6</v>
      </c>
      <c r="F60" t="s">
        <v>7</v>
      </c>
      <c r="G60" t="s">
        <v>14</v>
      </c>
      <c r="H60">
        <v>3.0001000000000002</v>
      </c>
      <c r="K60">
        <v>4.2013999999999996</v>
      </c>
      <c r="L60">
        <v>0.18679999999999999</v>
      </c>
    </row>
    <row r="61" spans="1:12" x14ac:dyDescent="0.35">
      <c r="A61" t="s">
        <v>4</v>
      </c>
      <c r="B61" t="s">
        <v>10</v>
      </c>
      <c r="C61">
        <v>3.03</v>
      </c>
      <c r="D61" t="s">
        <v>9</v>
      </c>
      <c r="F61" t="s">
        <v>7</v>
      </c>
      <c r="G61" t="s">
        <v>14</v>
      </c>
      <c r="H61">
        <v>3.0001000000000002</v>
      </c>
      <c r="K61">
        <v>4.1569000000000003</v>
      </c>
      <c r="L61">
        <v>0.16023999999999999</v>
      </c>
    </row>
    <row r="63" spans="1:12" x14ac:dyDescent="0.35">
      <c r="A63" t="s">
        <v>4</v>
      </c>
      <c r="B63" t="s">
        <v>11</v>
      </c>
      <c r="C63">
        <v>3</v>
      </c>
      <c r="D63" t="s">
        <v>12</v>
      </c>
      <c r="F63" t="s">
        <v>7</v>
      </c>
      <c r="G63" t="s">
        <v>14</v>
      </c>
      <c r="H63">
        <v>3.0001000000000002</v>
      </c>
      <c r="K63">
        <v>4.6193</v>
      </c>
      <c r="L63">
        <v>0.1348</v>
      </c>
    </row>
    <row r="64" spans="1:12" x14ac:dyDescent="0.35">
      <c r="A64" t="s">
        <v>4</v>
      </c>
      <c r="B64" t="s">
        <v>11</v>
      </c>
      <c r="C64">
        <v>3</v>
      </c>
      <c r="D64" t="s">
        <v>13</v>
      </c>
      <c r="F64" t="s">
        <v>7</v>
      </c>
      <c r="G64" t="s">
        <v>14</v>
      </c>
      <c r="H64">
        <v>3.0001000000000002</v>
      </c>
      <c r="K64">
        <v>4.6013000000000002</v>
      </c>
      <c r="L64">
        <v>0.15644</v>
      </c>
    </row>
    <row r="66" spans="1:12" x14ac:dyDescent="0.35">
      <c r="A66" t="s">
        <v>4</v>
      </c>
      <c r="B66" t="s">
        <v>5</v>
      </c>
      <c r="C66">
        <v>3.1</v>
      </c>
      <c r="D66" t="s">
        <v>6</v>
      </c>
      <c r="F66" t="s">
        <v>4</v>
      </c>
      <c r="G66" t="s">
        <v>14</v>
      </c>
      <c r="H66">
        <v>3.0001000000000002</v>
      </c>
      <c r="K66">
        <v>3.3001</v>
      </c>
      <c r="L66">
        <v>0.13319</v>
      </c>
    </row>
    <row r="67" spans="1:12" x14ac:dyDescent="0.35">
      <c r="A67" t="s">
        <v>4</v>
      </c>
      <c r="B67" t="s">
        <v>5</v>
      </c>
      <c r="C67">
        <v>3.1</v>
      </c>
      <c r="D67" t="s">
        <v>9</v>
      </c>
      <c r="F67" t="s">
        <v>4</v>
      </c>
      <c r="G67" t="s">
        <v>14</v>
      </c>
      <c r="H67">
        <v>3.0001000000000002</v>
      </c>
      <c r="K67">
        <v>3.3008999999999999</v>
      </c>
      <c r="L67">
        <v>0.12973000000000001</v>
      </c>
    </row>
    <row r="69" spans="1:12" x14ac:dyDescent="0.35">
      <c r="A69" t="s">
        <v>4</v>
      </c>
      <c r="B69" t="s">
        <v>5</v>
      </c>
      <c r="C69">
        <v>3.03</v>
      </c>
      <c r="D69" t="s">
        <v>6</v>
      </c>
      <c r="F69" t="s">
        <v>4</v>
      </c>
      <c r="G69" t="s">
        <v>14</v>
      </c>
      <c r="H69">
        <v>3.0001000000000002</v>
      </c>
      <c r="K69">
        <v>3.1556999999999999</v>
      </c>
      <c r="L69">
        <v>0.15386</v>
      </c>
    </row>
    <row r="70" spans="1:12" x14ac:dyDescent="0.35">
      <c r="A70" t="s">
        <v>4</v>
      </c>
      <c r="B70" t="s">
        <v>5</v>
      </c>
      <c r="C70">
        <v>3.03</v>
      </c>
      <c r="D70" t="s">
        <v>9</v>
      </c>
      <c r="F70" t="s">
        <v>4</v>
      </c>
      <c r="G70" t="s">
        <v>14</v>
      </c>
      <c r="H70">
        <v>3.0001000000000002</v>
      </c>
      <c r="K70">
        <v>3.2193000000000001</v>
      </c>
      <c r="L70">
        <v>0.13789000000000001</v>
      </c>
    </row>
    <row r="72" spans="1:12" x14ac:dyDescent="0.35">
      <c r="A72" t="s">
        <v>4</v>
      </c>
      <c r="B72" t="s">
        <v>10</v>
      </c>
      <c r="C72">
        <v>3.03</v>
      </c>
      <c r="D72" t="s">
        <v>6</v>
      </c>
      <c r="F72" t="s">
        <v>4</v>
      </c>
      <c r="G72" t="s">
        <v>14</v>
      </c>
      <c r="H72">
        <v>3.0001000000000002</v>
      </c>
      <c r="K72">
        <v>2.9643000000000002</v>
      </c>
      <c r="L72">
        <v>0.21267</v>
      </c>
    </row>
    <row r="73" spans="1:12" x14ac:dyDescent="0.35">
      <c r="A73" t="s">
        <v>4</v>
      </c>
      <c r="B73" t="s">
        <v>10</v>
      </c>
      <c r="C73">
        <v>3.03</v>
      </c>
      <c r="D73" t="s">
        <v>9</v>
      </c>
      <c r="F73" t="s">
        <v>4</v>
      </c>
      <c r="G73" t="s">
        <v>14</v>
      </c>
      <c r="H73">
        <v>3.0001000000000002</v>
      </c>
      <c r="K73">
        <v>2.9173</v>
      </c>
      <c r="L73">
        <v>0.1565</v>
      </c>
    </row>
    <row r="75" spans="1:12" x14ac:dyDescent="0.35">
      <c r="A75" t="s">
        <v>4</v>
      </c>
      <c r="B75" t="s">
        <v>11</v>
      </c>
      <c r="C75">
        <v>3</v>
      </c>
      <c r="D75" t="s">
        <v>12</v>
      </c>
      <c r="F75" t="s">
        <v>4</v>
      </c>
      <c r="G75" t="s">
        <v>14</v>
      </c>
      <c r="H75">
        <v>3.0001000000000002</v>
      </c>
      <c r="K75">
        <v>3.2934999999999999</v>
      </c>
      <c r="L75">
        <v>0.14982000000000001</v>
      </c>
    </row>
    <row r="76" spans="1:12" x14ac:dyDescent="0.35">
      <c r="A76" t="s">
        <v>4</v>
      </c>
      <c r="B76" t="s">
        <v>11</v>
      </c>
      <c r="C76">
        <v>3</v>
      </c>
      <c r="D76" t="s">
        <v>13</v>
      </c>
      <c r="F76" t="s">
        <v>4</v>
      </c>
      <c r="G76" t="s">
        <v>14</v>
      </c>
      <c r="H76">
        <v>3.0001000000000002</v>
      </c>
      <c r="K76">
        <v>3.2667000000000002</v>
      </c>
      <c r="L76">
        <v>0.15662999999999999</v>
      </c>
    </row>
    <row r="78" spans="1:12" x14ac:dyDescent="0.35">
      <c r="A78" t="s">
        <v>7</v>
      </c>
      <c r="B78" t="s">
        <v>5</v>
      </c>
      <c r="C78">
        <v>3.1</v>
      </c>
      <c r="D78" t="s">
        <v>6</v>
      </c>
      <c r="F78" t="s">
        <v>7</v>
      </c>
      <c r="G78" t="s">
        <v>5</v>
      </c>
      <c r="H78">
        <v>3.0001199999999999</v>
      </c>
      <c r="I78" t="s">
        <v>6</v>
      </c>
      <c r="K78">
        <v>4.2935999999999996</v>
      </c>
      <c r="L78">
        <v>0.15816</v>
      </c>
    </row>
    <row r="79" spans="1:12" x14ac:dyDescent="0.35">
      <c r="A79" t="s">
        <v>7</v>
      </c>
      <c r="B79" t="s">
        <v>5</v>
      </c>
      <c r="C79">
        <v>3.1</v>
      </c>
      <c r="D79" t="s">
        <v>9</v>
      </c>
      <c r="F79" t="s">
        <v>7</v>
      </c>
      <c r="G79" t="s">
        <v>5</v>
      </c>
      <c r="H79">
        <v>3.0001199999999999</v>
      </c>
      <c r="I79" t="s">
        <v>6</v>
      </c>
      <c r="K79">
        <v>4.3623000000000003</v>
      </c>
      <c r="L79">
        <v>0.15275</v>
      </c>
    </row>
    <row r="80" spans="1:12" x14ac:dyDescent="0.35">
      <c r="A80" t="s">
        <v>7</v>
      </c>
      <c r="B80" t="s">
        <v>5</v>
      </c>
      <c r="C80">
        <v>3.1</v>
      </c>
      <c r="D80" t="s">
        <v>6</v>
      </c>
      <c r="F80" t="s">
        <v>7</v>
      </c>
      <c r="G80" t="s">
        <v>5</v>
      </c>
      <c r="H80">
        <v>3.0001199999999999</v>
      </c>
      <c r="I80" t="s">
        <v>9</v>
      </c>
      <c r="K80">
        <v>4.4340999999999999</v>
      </c>
      <c r="L80">
        <v>0.15243000000000001</v>
      </c>
    </row>
    <row r="81" spans="1:12" x14ac:dyDescent="0.35">
      <c r="A81" t="s">
        <v>7</v>
      </c>
      <c r="B81" t="s">
        <v>5</v>
      </c>
      <c r="C81">
        <v>3.1</v>
      </c>
      <c r="D81" t="s">
        <v>9</v>
      </c>
      <c r="F81" t="s">
        <v>7</v>
      </c>
      <c r="G81" t="s">
        <v>5</v>
      </c>
      <c r="H81">
        <v>3.0001199999999999</v>
      </c>
      <c r="I81" t="s">
        <v>9</v>
      </c>
      <c r="K81">
        <v>4.3704999999999998</v>
      </c>
      <c r="L81">
        <v>0.16142999999999999</v>
      </c>
    </row>
    <row r="83" spans="1:12" x14ac:dyDescent="0.35">
      <c r="A83" t="s">
        <v>7</v>
      </c>
      <c r="B83" t="s">
        <v>5</v>
      </c>
      <c r="C83">
        <v>3.03</v>
      </c>
      <c r="D83" t="s">
        <v>6</v>
      </c>
      <c r="F83" t="s">
        <v>7</v>
      </c>
      <c r="G83" t="s">
        <v>5</v>
      </c>
      <c r="H83">
        <v>3.0001199999999999</v>
      </c>
      <c r="I83" t="s">
        <v>6</v>
      </c>
      <c r="K83">
        <v>4.3373999999999997</v>
      </c>
      <c r="L83">
        <v>0.17868999999999999</v>
      </c>
    </row>
    <row r="84" spans="1:12" x14ac:dyDescent="0.35">
      <c r="A84" t="s">
        <v>7</v>
      </c>
      <c r="B84" t="s">
        <v>5</v>
      </c>
      <c r="C84">
        <v>3.03</v>
      </c>
      <c r="D84" t="s">
        <v>9</v>
      </c>
      <c r="F84" t="s">
        <v>7</v>
      </c>
      <c r="G84" t="s">
        <v>5</v>
      </c>
      <c r="H84">
        <v>3.0001199999999999</v>
      </c>
      <c r="I84" t="s">
        <v>6</v>
      </c>
      <c r="K84">
        <v>4.1952999999999996</v>
      </c>
      <c r="L84">
        <v>0.18331</v>
      </c>
    </row>
    <row r="85" spans="1:12" x14ac:dyDescent="0.35">
      <c r="A85" t="s">
        <v>7</v>
      </c>
      <c r="B85" t="s">
        <v>5</v>
      </c>
      <c r="C85">
        <v>3.03</v>
      </c>
      <c r="D85" t="s">
        <v>6</v>
      </c>
      <c r="F85" t="s">
        <v>7</v>
      </c>
      <c r="G85" t="s">
        <v>5</v>
      </c>
      <c r="H85">
        <v>3.0001199999999999</v>
      </c>
      <c r="I85" t="s">
        <v>9</v>
      </c>
      <c r="K85">
        <v>4.2230999999999996</v>
      </c>
      <c r="L85">
        <v>0.16935</v>
      </c>
    </row>
    <row r="86" spans="1:12" x14ac:dyDescent="0.35">
      <c r="A86" t="s">
        <v>7</v>
      </c>
      <c r="B86" t="s">
        <v>5</v>
      </c>
      <c r="C86">
        <v>3.03</v>
      </c>
      <c r="D86" t="s">
        <v>9</v>
      </c>
      <c r="F86" t="s">
        <v>7</v>
      </c>
      <c r="G86" t="s">
        <v>5</v>
      </c>
      <c r="H86">
        <v>3.0001199999999999</v>
      </c>
      <c r="I86" t="s">
        <v>9</v>
      </c>
      <c r="K86">
        <v>4.2831000000000001</v>
      </c>
      <c r="L86">
        <v>0.18614</v>
      </c>
    </row>
    <row r="88" spans="1:12" x14ac:dyDescent="0.35">
      <c r="A88" t="s">
        <v>7</v>
      </c>
      <c r="B88" t="s">
        <v>11</v>
      </c>
      <c r="C88">
        <v>3</v>
      </c>
      <c r="D88" t="s">
        <v>13</v>
      </c>
      <c r="F88" t="s">
        <v>7</v>
      </c>
      <c r="G88" t="s">
        <v>5</v>
      </c>
      <c r="H88">
        <v>3.0001199999999999</v>
      </c>
      <c r="I88" t="s">
        <v>6</v>
      </c>
      <c r="K88">
        <v>4.5519999999999996</v>
      </c>
      <c r="L88">
        <v>0.13428999999999999</v>
      </c>
    </row>
    <row r="89" spans="1:12" x14ac:dyDescent="0.35">
      <c r="A89" t="s">
        <v>7</v>
      </c>
      <c r="B89" t="s">
        <v>11</v>
      </c>
      <c r="C89">
        <v>3</v>
      </c>
      <c r="D89" t="s">
        <v>12</v>
      </c>
      <c r="F89" t="s">
        <v>7</v>
      </c>
      <c r="G89" t="s">
        <v>5</v>
      </c>
      <c r="H89">
        <v>3.0001199999999999</v>
      </c>
      <c r="I89" t="s">
        <v>6</v>
      </c>
      <c r="K89">
        <v>4.4878999999999998</v>
      </c>
      <c r="L89">
        <v>0.15146000000000001</v>
      </c>
    </row>
    <row r="90" spans="1:12" x14ac:dyDescent="0.35">
      <c r="A90" t="s">
        <v>7</v>
      </c>
      <c r="B90" t="s">
        <v>11</v>
      </c>
      <c r="C90">
        <v>3</v>
      </c>
      <c r="D90" t="s">
        <v>13</v>
      </c>
      <c r="F90" t="s">
        <v>7</v>
      </c>
      <c r="G90" t="s">
        <v>5</v>
      </c>
      <c r="H90">
        <v>3.0001199999999999</v>
      </c>
      <c r="I90" t="s">
        <v>9</v>
      </c>
      <c r="K90">
        <v>4.3189000000000002</v>
      </c>
      <c r="L90">
        <v>0.16216</v>
      </c>
    </row>
    <row r="91" spans="1:12" x14ac:dyDescent="0.35">
      <c r="A91" t="s">
        <v>7</v>
      </c>
      <c r="B91" t="s">
        <v>11</v>
      </c>
      <c r="C91">
        <v>3</v>
      </c>
      <c r="D91" t="s">
        <v>12</v>
      </c>
      <c r="F91" t="s">
        <v>7</v>
      </c>
      <c r="G91" t="s">
        <v>5</v>
      </c>
      <c r="H91">
        <v>3.0001199999999999</v>
      </c>
      <c r="I91" t="s">
        <v>9</v>
      </c>
      <c r="K91">
        <v>4.4951999999999996</v>
      </c>
      <c r="L91">
        <v>0.13877999999999999</v>
      </c>
    </row>
    <row r="93" spans="1:12" x14ac:dyDescent="0.35">
      <c r="A93" t="s">
        <v>7</v>
      </c>
      <c r="B93" t="s">
        <v>14</v>
      </c>
      <c r="C93">
        <v>3.03</v>
      </c>
      <c r="F93" t="s">
        <v>7</v>
      </c>
      <c r="G93" t="s">
        <v>5</v>
      </c>
      <c r="H93">
        <v>3.0001199999999999</v>
      </c>
      <c r="I93" t="s">
        <v>6</v>
      </c>
      <c r="K93">
        <v>4.4425999999999997</v>
      </c>
      <c r="L93">
        <v>0.20599000000000001</v>
      </c>
    </row>
    <row r="94" spans="1:12" x14ac:dyDescent="0.35">
      <c r="A94" t="s">
        <v>7</v>
      </c>
      <c r="B94" t="s">
        <v>14</v>
      </c>
      <c r="C94">
        <v>3.03</v>
      </c>
      <c r="F94" t="s">
        <v>7</v>
      </c>
      <c r="G94" t="s">
        <v>5</v>
      </c>
      <c r="H94">
        <v>3.0001199999999999</v>
      </c>
      <c r="I94" t="s">
        <v>9</v>
      </c>
      <c r="K94">
        <v>4.5221</v>
      </c>
      <c r="L94">
        <v>0.17523</v>
      </c>
    </row>
    <row r="96" spans="1:12" x14ac:dyDescent="0.35">
      <c r="A96" t="s">
        <v>7</v>
      </c>
      <c r="B96" t="s">
        <v>15</v>
      </c>
      <c r="C96">
        <v>3.03</v>
      </c>
      <c r="F96" t="s">
        <v>7</v>
      </c>
      <c r="G96" t="s">
        <v>5</v>
      </c>
      <c r="H96">
        <v>3.0001199999999999</v>
      </c>
      <c r="I96" t="s">
        <v>6</v>
      </c>
      <c r="K96">
        <v>4.6589999999999998</v>
      </c>
      <c r="L96">
        <v>0.13822000000000001</v>
      </c>
    </row>
    <row r="97" spans="1:12" x14ac:dyDescent="0.35">
      <c r="A97" t="s">
        <v>7</v>
      </c>
      <c r="B97" t="s">
        <v>15</v>
      </c>
      <c r="C97">
        <v>3.03</v>
      </c>
      <c r="F97" t="s">
        <v>7</v>
      </c>
      <c r="G97" t="s">
        <v>5</v>
      </c>
      <c r="H97">
        <v>3.0001199999999999</v>
      </c>
      <c r="I97" t="s">
        <v>9</v>
      </c>
      <c r="K97">
        <v>4.4119000000000002</v>
      </c>
      <c r="L97">
        <v>0.14684</v>
      </c>
    </row>
    <row r="99" spans="1:12" x14ac:dyDescent="0.35">
      <c r="A99" t="s">
        <v>7</v>
      </c>
      <c r="B99" t="s">
        <v>5</v>
      </c>
      <c r="C99">
        <v>3.1</v>
      </c>
      <c r="D99" t="s">
        <v>6</v>
      </c>
      <c r="F99" t="s">
        <v>4</v>
      </c>
      <c r="G99" t="s">
        <v>5</v>
      </c>
      <c r="H99">
        <v>3.00007</v>
      </c>
      <c r="I99" t="s">
        <v>6</v>
      </c>
      <c r="K99">
        <v>2.3460999999999999</v>
      </c>
      <c r="L99">
        <v>0.17496999999999999</v>
      </c>
    </row>
    <row r="100" spans="1:12" x14ac:dyDescent="0.35">
      <c r="A100" t="s">
        <v>7</v>
      </c>
      <c r="B100" t="s">
        <v>5</v>
      </c>
      <c r="C100">
        <v>3.1</v>
      </c>
      <c r="D100" t="s">
        <v>9</v>
      </c>
      <c r="F100" t="s">
        <v>4</v>
      </c>
      <c r="G100" t="s">
        <v>5</v>
      </c>
      <c r="H100">
        <v>3.00007</v>
      </c>
      <c r="I100" t="s">
        <v>6</v>
      </c>
      <c r="K100">
        <v>2.4704000000000002</v>
      </c>
      <c r="L100">
        <v>0.14216999999999999</v>
      </c>
    </row>
    <row r="101" spans="1:12" x14ac:dyDescent="0.35">
      <c r="A101" t="s">
        <v>7</v>
      </c>
      <c r="B101" t="s">
        <v>5</v>
      </c>
      <c r="C101">
        <v>3.1</v>
      </c>
      <c r="D101" t="s">
        <v>6</v>
      </c>
      <c r="F101" t="s">
        <v>4</v>
      </c>
      <c r="G101" t="s">
        <v>5</v>
      </c>
      <c r="H101">
        <v>3.00007</v>
      </c>
      <c r="I101" t="s">
        <v>9</v>
      </c>
      <c r="K101">
        <v>2.4291</v>
      </c>
      <c r="L101">
        <v>0.19488</v>
      </c>
    </row>
    <row r="102" spans="1:12" x14ac:dyDescent="0.35">
      <c r="A102" t="s">
        <v>7</v>
      </c>
      <c r="B102" t="s">
        <v>5</v>
      </c>
      <c r="C102">
        <v>3.1</v>
      </c>
      <c r="D102" t="s">
        <v>9</v>
      </c>
      <c r="F102" t="s">
        <v>4</v>
      </c>
      <c r="G102" t="s">
        <v>5</v>
      </c>
      <c r="H102">
        <v>3.00007</v>
      </c>
      <c r="I102" t="s">
        <v>9</v>
      </c>
      <c r="K102">
        <v>2.4634999999999998</v>
      </c>
      <c r="L102">
        <v>0.18440000000000001</v>
      </c>
    </row>
    <row r="104" spans="1:12" x14ac:dyDescent="0.35">
      <c r="A104" t="s">
        <v>7</v>
      </c>
      <c r="B104" t="s">
        <v>5</v>
      </c>
      <c r="C104">
        <v>3.03</v>
      </c>
      <c r="D104" t="s">
        <v>6</v>
      </c>
      <c r="F104" t="s">
        <v>4</v>
      </c>
      <c r="G104" t="s">
        <v>5</v>
      </c>
      <c r="H104">
        <v>3.00007</v>
      </c>
      <c r="I104" t="s">
        <v>6</v>
      </c>
      <c r="K104">
        <v>2.3191999999999999</v>
      </c>
      <c r="L104">
        <v>0.21345</v>
      </c>
    </row>
    <row r="105" spans="1:12" x14ac:dyDescent="0.35">
      <c r="A105" t="s">
        <v>7</v>
      </c>
      <c r="B105" t="s">
        <v>5</v>
      </c>
      <c r="C105">
        <v>3.03</v>
      </c>
      <c r="D105" t="s">
        <v>9</v>
      </c>
      <c r="F105" t="s">
        <v>4</v>
      </c>
      <c r="G105" t="s">
        <v>5</v>
      </c>
      <c r="H105">
        <v>3.00007</v>
      </c>
      <c r="I105" t="s">
        <v>6</v>
      </c>
      <c r="K105">
        <v>2.2557</v>
      </c>
      <c r="L105">
        <v>0.2054</v>
      </c>
    </row>
    <row r="106" spans="1:12" x14ac:dyDescent="0.35">
      <c r="A106" t="s">
        <v>7</v>
      </c>
      <c r="B106" t="s">
        <v>5</v>
      </c>
      <c r="C106">
        <v>3.03</v>
      </c>
      <c r="D106" t="s">
        <v>6</v>
      </c>
      <c r="F106" t="s">
        <v>4</v>
      </c>
      <c r="G106" t="s">
        <v>5</v>
      </c>
      <c r="H106">
        <v>3.00007</v>
      </c>
      <c r="I106" t="s">
        <v>9</v>
      </c>
      <c r="K106">
        <v>2.3233000000000001</v>
      </c>
      <c r="L106">
        <v>0.16941999999999999</v>
      </c>
    </row>
    <row r="107" spans="1:12" x14ac:dyDescent="0.35">
      <c r="A107" t="s">
        <v>7</v>
      </c>
      <c r="B107" t="s">
        <v>5</v>
      </c>
      <c r="C107">
        <v>3.03</v>
      </c>
      <c r="D107" t="s">
        <v>9</v>
      </c>
      <c r="F107" t="s">
        <v>4</v>
      </c>
      <c r="G107" t="s">
        <v>5</v>
      </c>
      <c r="H107">
        <v>3.00007</v>
      </c>
      <c r="I107" t="s">
        <v>9</v>
      </c>
      <c r="K107">
        <v>2.2871999999999999</v>
      </c>
      <c r="L107">
        <v>0.25478000000000001</v>
      </c>
    </row>
    <row r="109" spans="1:12" x14ac:dyDescent="0.35">
      <c r="A109" t="s">
        <v>7</v>
      </c>
      <c r="B109" t="s">
        <v>11</v>
      </c>
      <c r="C109">
        <v>3</v>
      </c>
      <c r="D109" t="s">
        <v>13</v>
      </c>
      <c r="F109" t="s">
        <v>4</v>
      </c>
      <c r="G109" t="s">
        <v>5</v>
      </c>
      <c r="H109">
        <v>3.00007</v>
      </c>
      <c r="I109" t="s">
        <v>6</v>
      </c>
      <c r="K109">
        <v>2.5131999999999999</v>
      </c>
      <c r="L109">
        <v>0.16045999999999999</v>
      </c>
    </row>
    <row r="110" spans="1:12" x14ac:dyDescent="0.35">
      <c r="A110" t="s">
        <v>7</v>
      </c>
      <c r="B110" t="s">
        <v>11</v>
      </c>
      <c r="C110">
        <v>3</v>
      </c>
      <c r="D110" t="s">
        <v>12</v>
      </c>
      <c r="F110" t="s">
        <v>4</v>
      </c>
      <c r="G110" t="s">
        <v>5</v>
      </c>
      <c r="H110">
        <v>3.00007</v>
      </c>
      <c r="I110" t="s">
        <v>6</v>
      </c>
      <c r="K110">
        <v>2.4339</v>
      </c>
      <c r="L110">
        <v>0.14651</v>
      </c>
    </row>
    <row r="111" spans="1:12" x14ac:dyDescent="0.35">
      <c r="A111" t="s">
        <v>7</v>
      </c>
      <c r="B111" t="s">
        <v>11</v>
      </c>
      <c r="C111">
        <v>3</v>
      </c>
      <c r="D111" t="s">
        <v>13</v>
      </c>
      <c r="F111" t="s">
        <v>4</v>
      </c>
      <c r="G111" t="s">
        <v>5</v>
      </c>
      <c r="H111">
        <v>3.00007</v>
      </c>
      <c r="I111" t="s">
        <v>9</v>
      </c>
      <c r="K111">
        <v>2.4481999999999999</v>
      </c>
      <c r="L111">
        <v>0.15106</v>
      </c>
    </row>
    <row r="112" spans="1:12" x14ac:dyDescent="0.35">
      <c r="A112" t="s">
        <v>7</v>
      </c>
      <c r="B112" t="s">
        <v>11</v>
      </c>
      <c r="C112">
        <v>3</v>
      </c>
      <c r="D112" t="s">
        <v>12</v>
      </c>
      <c r="F112" t="s">
        <v>4</v>
      </c>
      <c r="G112" t="s">
        <v>5</v>
      </c>
      <c r="H112">
        <v>3.00007</v>
      </c>
      <c r="I112" t="s">
        <v>9</v>
      </c>
      <c r="K112">
        <v>2.4599000000000002</v>
      </c>
      <c r="L112">
        <v>0.15665999999999999</v>
      </c>
    </row>
    <row r="114" spans="1:12" x14ac:dyDescent="0.35">
      <c r="A114" t="s">
        <v>7</v>
      </c>
      <c r="B114" t="s">
        <v>14</v>
      </c>
      <c r="C114">
        <v>3.03</v>
      </c>
      <c r="F114" t="s">
        <v>4</v>
      </c>
      <c r="G114" t="s">
        <v>5</v>
      </c>
      <c r="H114">
        <v>3.00007</v>
      </c>
      <c r="I114" t="s">
        <v>6</v>
      </c>
      <c r="K114">
        <v>2.5606</v>
      </c>
      <c r="L114">
        <v>0.24012</v>
      </c>
    </row>
    <row r="115" spans="1:12" x14ac:dyDescent="0.35">
      <c r="A115" t="s">
        <v>7</v>
      </c>
      <c r="B115" t="s">
        <v>14</v>
      </c>
      <c r="C115">
        <v>3.03</v>
      </c>
      <c r="F115" t="s">
        <v>4</v>
      </c>
      <c r="G115" t="s">
        <v>5</v>
      </c>
      <c r="H115">
        <v>3.00007</v>
      </c>
      <c r="I115" t="s">
        <v>9</v>
      </c>
      <c r="K115">
        <v>2.4927000000000001</v>
      </c>
      <c r="L115">
        <v>0.20754</v>
      </c>
    </row>
    <row r="117" spans="1:12" x14ac:dyDescent="0.35">
      <c r="A117" t="s">
        <v>7</v>
      </c>
      <c r="B117" t="s">
        <v>15</v>
      </c>
      <c r="C117">
        <v>3.03</v>
      </c>
      <c r="F117" t="s">
        <v>4</v>
      </c>
      <c r="G117" t="s">
        <v>5</v>
      </c>
      <c r="H117">
        <v>3.00007</v>
      </c>
      <c r="I117" t="s">
        <v>6</v>
      </c>
      <c r="K117">
        <v>2.5724999999999998</v>
      </c>
      <c r="L117">
        <v>0.15440999999999999</v>
      </c>
    </row>
    <row r="118" spans="1:12" x14ac:dyDescent="0.35">
      <c r="A118" t="s">
        <v>7</v>
      </c>
      <c r="B118" t="s">
        <v>15</v>
      </c>
      <c r="C118">
        <v>3.03</v>
      </c>
      <c r="F118" t="s">
        <v>4</v>
      </c>
      <c r="G118" t="s">
        <v>5</v>
      </c>
      <c r="H118">
        <v>3.00007</v>
      </c>
      <c r="I118" t="s">
        <v>9</v>
      </c>
      <c r="K118">
        <v>2.3529</v>
      </c>
      <c r="L118">
        <v>0.17235</v>
      </c>
    </row>
    <row r="120" spans="1:12" x14ac:dyDescent="0.35">
      <c r="A120" t="s">
        <v>7</v>
      </c>
      <c r="B120" t="s">
        <v>5</v>
      </c>
      <c r="C120">
        <v>3.1</v>
      </c>
      <c r="D120" t="s">
        <v>6</v>
      </c>
      <c r="F120" t="s">
        <v>7</v>
      </c>
      <c r="G120" t="s">
        <v>14</v>
      </c>
      <c r="H120">
        <v>3.0001000000000002</v>
      </c>
      <c r="K120">
        <v>4.3639999999999999</v>
      </c>
      <c r="L120">
        <v>0.18437000000000001</v>
      </c>
    </row>
    <row r="121" spans="1:12" x14ac:dyDescent="0.35">
      <c r="A121" t="s">
        <v>7</v>
      </c>
      <c r="B121" t="s">
        <v>5</v>
      </c>
      <c r="C121">
        <v>3.1</v>
      </c>
      <c r="D121" t="s">
        <v>9</v>
      </c>
      <c r="F121" t="s">
        <v>7</v>
      </c>
      <c r="G121" t="s">
        <v>14</v>
      </c>
      <c r="H121">
        <v>3.0001000000000002</v>
      </c>
      <c r="K121">
        <v>4.3505000000000003</v>
      </c>
      <c r="L121">
        <v>0.14391999999999999</v>
      </c>
    </row>
    <row r="123" spans="1:12" x14ac:dyDescent="0.35">
      <c r="A123" t="s">
        <v>7</v>
      </c>
      <c r="B123" t="s">
        <v>5</v>
      </c>
      <c r="C123">
        <v>3.03</v>
      </c>
      <c r="D123" t="s">
        <v>6</v>
      </c>
      <c r="F123" t="s">
        <v>7</v>
      </c>
      <c r="G123" t="s">
        <v>14</v>
      </c>
      <c r="H123">
        <v>3.0001000000000002</v>
      </c>
      <c r="K123">
        <v>4.1821999999999999</v>
      </c>
      <c r="L123">
        <v>0.17732000000000001</v>
      </c>
    </row>
    <row r="124" spans="1:12" x14ac:dyDescent="0.35">
      <c r="A124" t="s">
        <v>7</v>
      </c>
      <c r="B124" t="s">
        <v>5</v>
      </c>
      <c r="C124">
        <v>3.03</v>
      </c>
      <c r="D124" t="s">
        <v>9</v>
      </c>
      <c r="F124" t="s">
        <v>7</v>
      </c>
      <c r="G124" t="s">
        <v>14</v>
      </c>
      <c r="H124">
        <v>3.0001000000000002</v>
      </c>
      <c r="K124">
        <v>4.2035</v>
      </c>
      <c r="L124">
        <v>0.17652000000000001</v>
      </c>
    </row>
    <row r="126" spans="1:12" x14ac:dyDescent="0.35">
      <c r="A126" t="s">
        <v>7</v>
      </c>
      <c r="B126" t="s">
        <v>11</v>
      </c>
      <c r="C126">
        <v>3</v>
      </c>
      <c r="D126" t="s">
        <v>13</v>
      </c>
      <c r="F126" t="s">
        <v>7</v>
      </c>
      <c r="G126" t="s">
        <v>14</v>
      </c>
      <c r="H126">
        <v>3.0001000000000002</v>
      </c>
      <c r="K126">
        <v>4.3278999999999996</v>
      </c>
      <c r="L126">
        <v>0.16095999999999999</v>
      </c>
    </row>
    <row r="127" spans="1:12" x14ac:dyDescent="0.35">
      <c r="A127" t="s">
        <v>7</v>
      </c>
      <c r="B127" t="s">
        <v>11</v>
      </c>
      <c r="C127">
        <v>3</v>
      </c>
      <c r="D127" t="s">
        <v>12</v>
      </c>
      <c r="F127" t="s">
        <v>7</v>
      </c>
      <c r="G127" t="s">
        <v>14</v>
      </c>
      <c r="H127">
        <v>3.0001000000000002</v>
      </c>
      <c r="K127">
        <v>4.3766999999999996</v>
      </c>
      <c r="L127">
        <v>0.14918000000000001</v>
      </c>
    </row>
    <row r="129" spans="1:12" x14ac:dyDescent="0.35">
      <c r="A129" t="s">
        <v>7</v>
      </c>
      <c r="B129" t="s">
        <v>5</v>
      </c>
      <c r="C129">
        <v>3.1</v>
      </c>
      <c r="D129" t="s">
        <v>6</v>
      </c>
      <c r="F129" t="s">
        <v>4</v>
      </c>
      <c r="G129" t="s">
        <v>14</v>
      </c>
      <c r="H129">
        <v>3.0001000000000002</v>
      </c>
      <c r="K129">
        <v>3.0627</v>
      </c>
      <c r="L129">
        <v>0.15003</v>
      </c>
    </row>
    <row r="130" spans="1:12" x14ac:dyDescent="0.35">
      <c r="A130" t="s">
        <v>7</v>
      </c>
      <c r="B130" t="s">
        <v>5</v>
      </c>
      <c r="C130">
        <v>3.1</v>
      </c>
      <c r="D130" t="s">
        <v>9</v>
      </c>
      <c r="F130" t="s">
        <v>4</v>
      </c>
      <c r="G130" t="s">
        <v>14</v>
      </c>
      <c r="H130">
        <v>3.0001000000000002</v>
      </c>
      <c r="K130">
        <v>3.0659000000000001</v>
      </c>
      <c r="L130">
        <v>0.14463999999999999</v>
      </c>
    </row>
    <row r="132" spans="1:12" x14ac:dyDescent="0.35">
      <c r="A132" t="s">
        <v>7</v>
      </c>
      <c r="B132" t="s">
        <v>5</v>
      </c>
      <c r="C132">
        <v>3.03</v>
      </c>
      <c r="D132" t="s">
        <v>6</v>
      </c>
      <c r="F132" t="s">
        <v>4</v>
      </c>
      <c r="G132" t="s">
        <v>14</v>
      </c>
      <c r="H132">
        <v>3.0001000000000002</v>
      </c>
      <c r="K132">
        <v>2.9352999999999998</v>
      </c>
      <c r="L132">
        <v>0.17949999999999999</v>
      </c>
    </row>
    <row r="133" spans="1:12" x14ac:dyDescent="0.35">
      <c r="A133" t="s">
        <v>7</v>
      </c>
      <c r="B133" t="s">
        <v>5</v>
      </c>
      <c r="C133">
        <v>3.03</v>
      </c>
      <c r="D133" t="s">
        <v>9</v>
      </c>
      <c r="F133" t="s">
        <v>4</v>
      </c>
      <c r="G133" t="s">
        <v>14</v>
      </c>
      <c r="H133">
        <v>3.0001000000000002</v>
      </c>
      <c r="K133">
        <v>2.9516</v>
      </c>
      <c r="L133">
        <v>0.17630999999999999</v>
      </c>
    </row>
    <row r="135" spans="1:12" x14ac:dyDescent="0.35">
      <c r="A135" t="s">
        <v>7</v>
      </c>
      <c r="B135" t="s">
        <v>11</v>
      </c>
      <c r="C135">
        <v>3</v>
      </c>
      <c r="D135" t="s">
        <v>13</v>
      </c>
      <c r="F135" t="s">
        <v>4</v>
      </c>
      <c r="G135" t="s">
        <v>14</v>
      </c>
      <c r="H135">
        <v>3.0001000000000002</v>
      </c>
      <c r="K135">
        <v>3.0348000000000002</v>
      </c>
      <c r="L135">
        <v>0.13988999999999999</v>
      </c>
    </row>
    <row r="136" spans="1:12" x14ac:dyDescent="0.35">
      <c r="A136" t="s">
        <v>7</v>
      </c>
      <c r="B136" t="s">
        <v>11</v>
      </c>
      <c r="C136">
        <v>3</v>
      </c>
      <c r="D136" t="s">
        <v>12</v>
      </c>
      <c r="F136" t="s">
        <v>4</v>
      </c>
      <c r="G136" t="s">
        <v>14</v>
      </c>
      <c r="H136">
        <v>3.0001000000000002</v>
      </c>
      <c r="K136">
        <v>3.1006999999999998</v>
      </c>
      <c r="L136">
        <v>0.15553</v>
      </c>
    </row>
    <row r="142" spans="1:12" x14ac:dyDescent="0.35">
      <c r="A142" t="s">
        <v>4</v>
      </c>
      <c r="B142" t="s">
        <v>5</v>
      </c>
      <c r="C142">
        <v>3.13</v>
      </c>
      <c r="D142" t="s">
        <v>6</v>
      </c>
      <c r="F142" t="s">
        <v>7</v>
      </c>
      <c r="G142" t="s">
        <v>5</v>
      </c>
      <c r="H142">
        <v>3.0001869999999999</v>
      </c>
      <c r="I142" t="s">
        <v>9</v>
      </c>
      <c r="K142">
        <v>5.0277000000000003</v>
      </c>
      <c r="L142">
        <v>0.12745999999999999</v>
      </c>
    </row>
    <row r="143" spans="1:12" x14ac:dyDescent="0.35">
      <c r="A143" t="s">
        <v>4</v>
      </c>
      <c r="B143" t="s">
        <v>5</v>
      </c>
      <c r="C143">
        <v>3.1</v>
      </c>
      <c r="D143" t="s">
        <v>6</v>
      </c>
      <c r="F143" t="s">
        <v>7</v>
      </c>
      <c r="G143" t="s">
        <v>5</v>
      </c>
      <c r="H143">
        <v>3.0001869999999999</v>
      </c>
      <c r="I143" t="s">
        <v>9</v>
      </c>
      <c r="K143">
        <v>4.9409999999999998</v>
      </c>
      <c r="L143">
        <v>0.12859999999999999</v>
      </c>
    </row>
    <row r="144" spans="1:12" x14ac:dyDescent="0.35">
      <c r="A144" t="s">
        <v>4</v>
      </c>
      <c r="B144" t="s">
        <v>5</v>
      </c>
      <c r="C144">
        <v>3.07</v>
      </c>
      <c r="D144" t="s">
        <v>6</v>
      </c>
      <c r="F144" t="s">
        <v>7</v>
      </c>
      <c r="G144" t="s">
        <v>5</v>
      </c>
      <c r="H144">
        <v>3.0001869999999999</v>
      </c>
      <c r="I144" t="s">
        <v>9</v>
      </c>
      <c r="K144">
        <v>4.7981999999999996</v>
      </c>
      <c r="L144">
        <v>0.14699000000000001</v>
      </c>
    </row>
    <row r="145" spans="1:12" x14ac:dyDescent="0.35">
      <c r="A145" t="s">
        <v>4</v>
      </c>
      <c r="B145" t="s">
        <v>5</v>
      </c>
      <c r="C145">
        <v>3.03</v>
      </c>
      <c r="D145" t="s">
        <v>6</v>
      </c>
      <c r="F145" t="s">
        <v>7</v>
      </c>
      <c r="G145" t="s">
        <v>5</v>
      </c>
      <c r="H145">
        <v>3.0001869999999999</v>
      </c>
      <c r="I145" t="s">
        <v>9</v>
      </c>
      <c r="K145">
        <v>4.7279</v>
      </c>
      <c r="L145">
        <v>0.15784999999999999</v>
      </c>
    </row>
    <row r="147" spans="1:12" x14ac:dyDescent="0.35">
      <c r="A147" t="s">
        <v>4</v>
      </c>
      <c r="B147" t="s">
        <v>14</v>
      </c>
      <c r="C147">
        <v>3.13</v>
      </c>
      <c r="F147" t="s">
        <v>7</v>
      </c>
      <c r="G147" t="s">
        <v>5</v>
      </c>
      <c r="H147">
        <v>3.0001869999999999</v>
      </c>
      <c r="I147" t="s">
        <v>9</v>
      </c>
      <c r="K147">
        <v>5.0190000000000001</v>
      </c>
      <c r="L147">
        <v>0.14582000000000001</v>
      </c>
    </row>
    <row r="148" spans="1:12" x14ac:dyDescent="0.35">
      <c r="A148" t="s">
        <v>4</v>
      </c>
      <c r="B148" t="s">
        <v>14</v>
      </c>
      <c r="C148">
        <v>3.1</v>
      </c>
      <c r="F148" t="s">
        <v>7</v>
      </c>
      <c r="G148" t="s">
        <v>5</v>
      </c>
      <c r="H148">
        <v>3.0001869999999999</v>
      </c>
      <c r="I148" t="s">
        <v>9</v>
      </c>
      <c r="K148">
        <v>4.6155999999999997</v>
      </c>
      <c r="L148">
        <v>0.18931999999999999</v>
      </c>
    </row>
    <row r="149" spans="1:12" x14ac:dyDescent="0.35">
      <c r="A149" t="s">
        <v>4</v>
      </c>
      <c r="B149" t="s">
        <v>14</v>
      </c>
      <c r="C149">
        <v>3.07</v>
      </c>
      <c r="F149" t="s">
        <v>7</v>
      </c>
      <c r="G149" t="s">
        <v>5</v>
      </c>
      <c r="H149">
        <v>3.0001869999999999</v>
      </c>
      <c r="I149" t="s">
        <v>9</v>
      </c>
      <c r="K149">
        <v>4.8529999999999998</v>
      </c>
      <c r="L149">
        <v>0.17755000000000001</v>
      </c>
    </row>
    <row r="150" spans="1:12" x14ac:dyDescent="0.35">
      <c r="A150" t="s">
        <v>4</v>
      </c>
      <c r="B150" t="s">
        <v>14</v>
      </c>
      <c r="C150">
        <v>3.03</v>
      </c>
      <c r="F150" t="s">
        <v>7</v>
      </c>
      <c r="G150" t="s">
        <v>5</v>
      </c>
      <c r="H150">
        <v>3.0001869999999999</v>
      </c>
      <c r="I150" t="s">
        <v>9</v>
      </c>
      <c r="K150">
        <v>4.8372999999999999</v>
      </c>
      <c r="L150">
        <v>0.20591999999999999</v>
      </c>
    </row>
    <row r="151" spans="1:12" x14ac:dyDescent="0.35">
      <c r="A151" t="s">
        <v>4</v>
      </c>
      <c r="B151" t="s">
        <v>14</v>
      </c>
      <c r="C151">
        <v>3</v>
      </c>
      <c r="F151" t="s">
        <v>7</v>
      </c>
      <c r="G151" t="s">
        <v>5</v>
      </c>
      <c r="H151">
        <v>3.0001869999999999</v>
      </c>
      <c r="I151" t="s">
        <v>9</v>
      </c>
      <c r="K151">
        <v>4.8459000000000003</v>
      </c>
      <c r="L151">
        <v>0.19766</v>
      </c>
    </row>
    <row r="152" spans="1:12" x14ac:dyDescent="0.35">
      <c r="A152" t="s">
        <v>4</v>
      </c>
      <c r="B152" t="s">
        <v>14</v>
      </c>
      <c r="C152">
        <v>2.97</v>
      </c>
      <c r="F152" t="s">
        <v>7</v>
      </c>
      <c r="G152" t="s">
        <v>5</v>
      </c>
      <c r="H152">
        <v>3.0001869999999999</v>
      </c>
      <c r="I152" t="s">
        <v>9</v>
      </c>
      <c r="K152">
        <v>5.0673000000000004</v>
      </c>
      <c r="L152">
        <v>0.16336999999999999</v>
      </c>
    </row>
    <row r="154" spans="1:12" x14ac:dyDescent="0.35">
      <c r="A154" t="s">
        <v>4</v>
      </c>
      <c r="B154" t="s">
        <v>15</v>
      </c>
      <c r="C154">
        <v>3.13</v>
      </c>
      <c r="F154" t="s">
        <v>7</v>
      </c>
      <c r="G154" t="s">
        <v>5</v>
      </c>
      <c r="H154">
        <v>3.0001869999999999</v>
      </c>
      <c r="I154" t="s">
        <v>9</v>
      </c>
      <c r="K154">
        <v>4.5277000000000003</v>
      </c>
      <c r="L154">
        <v>0.13825999999999999</v>
      </c>
    </row>
    <row r="155" spans="1:12" x14ac:dyDescent="0.35">
      <c r="A155" t="s">
        <v>4</v>
      </c>
      <c r="B155" t="s">
        <v>15</v>
      </c>
      <c r="C155">
        <v>3.1</v>
      </c>
      <c r="F155" t="s">
        <v>7</v>
      </c>
      <c r="G155" t="s">
        <v>5</v>
      </c>
      <c r="H155">
        <v>3.0001869999999999</v>
      </c>
      <c r="I155" t="s">
        <v>9</v>
      </c>
      <c r="K155">
        <v>4.7337999999999996</v>
      </c>
      <c r="L155">
        <v>0.13062000000000001</v>
      </c>
    </row>
    <row r="156" spans="1:12" x14ac:dyDescent="0.35">
      <c r="A156" t="s">
        <v>4</v>
      </c>
      <c r="B156" t="s">
        <v>15</v>
      </c>
      <c r="C156">
        <v>3.07</v>
      </c>
      <c r="F156" t="s">
        <v>7</v>
      </c>
      <c r="G156" t="s">
        <v>5</v>
      </c>
      <c r="H156">
        <v>3.0001869999999999</v>
      </c>
      <c r="I156" t="s">
        <v>9</v>
      </c>
      <c r="K156">
        <v>4.4305000000000003</v>
      </c>
      <c r="L156">
        <v>0.21375</v>
      </c>
    </row>
    <row r="157" spans="1:12" x14ac:dyDescent="0.35">
      <c r="A157" t="s">
        <v>4</v>
      </c>
      <c r="B157" t="s">
        <v>15</v>
      </c>
      <c r="C157">
        <v>3.03</v>
      </c>
      <c r="F157" t="s">
        <v>7</v>
      </c>
      <c r="G157" t="s">
        <v>5</v>
      </c>
      <c r="H157">
        <v>3.0001869999999999</v>
      </c>
      <c r="I157" t="s">
        <v>9</v>
      </c>
      <c r="K157">
        <v>4.5585000000000004</v>
      </c>
      <c r="L157">
        <v>0.16217999999999999</v>
      </c>
    </row>
    <row r="158" spans="1:12" x14ac:dyDescent="0.35">
      <c r="A158" t="s">
        <v>4</v>
      </c>
      <c r="B158" t="s">
        <v>15</v>
      </c>
      <c r="C158">
        <v>3</v>
      </c>
      <c r="F158" t="s">
        <v>7</v>
      </c>
      <c r="G158" t="s">
        <v>5</v>
      </c>
      <c r="H158">
        <v>3.0001869999999999</v>
      </c>
      <c r="I158" t="s">
        <v>9</v>
      </c>
      <c r="K158">
        <v>4.4691999999999998</v>
      </c>
      <c r="L158">
        <v>0.18728</v>
      </c>
    </row>
    <row r="159" spans="1:12" x14ac:dyDescent="0.35">
      <c r="A159" t="s">
        <v>4</v>
      </c>
      <c r="B159" t="s">
        <v>15</v>
      </c>
      <c r="C159">
        <v>2.97</v>
      </c>
      <c r="F159" t="s">
        <v>7</v>
      </c>
      <c r="G159" t="s">
        <v>5</v>
      </c>
      <c r="H159">
        <v>3.0001869999999999</v>
      </c>
      <c r="I159" t="s">
        <v>9</v>
      </c>
      <c r="K159">
        <v>4.3224999999999998</v>
      </c>
      <c r="L159">
        <v>0.13003999999999999</v>
      </c>
    </row>
    <row r="161" spans="1:12" x14ac:dyDescent="0.35">
      <c r="A161" t="s">
        <v>4</v>
      </c>
      <c r="B161" t="s">
        <v>11</v>
      </c>
      <c r="C161">
        <v>3</v>
      </c>
      <c r="D161" t="s">
        <v>13</v>
      </c>
      <c r="F161" t="s">
        <v>7</v>
      </c>
      <c r="G161" t="s">
        <v>5</v>
      </c>
      <c r="H161">
        <v>3.0001869999999999</v>
      </c>
      <c r="I161" t="s">
        <v>9</v>
      </c>
      <c r="K161">
        <v>4.8735999999999997</v>
      </c>
      <c r="L161">
        <v>0.15612999999999999</v>
      </c>
    </row>
    <row r="162" spans="1:12" x14ac:dyDescent="0.35">
      <c r="A162" t="s">
        <v>4</v>
      </c>
      <c r="B162" t="s">
        <v>11</v>
      </c>
      <c r="C162">
        <v>2.97</v>
      </c>
      <c r="D162" t="s">
        <v>13</v>
      </c>
      <c r="F162" t="s">
        <v>7</v>
      </c>
      <c r="G162" t="s">
        <v>5</v>
      </c>
      <c r="H162">
        <v>3.0001869999999999</v>
      </c>
      <c r="I162" t="s">
        <v>9</v>
      </c>
      <c r="K162">
        <v>4.3688000000000002</v>
      </c>
      <c r="L162">
        <v>0.17763000000000001</v>
      </c>
    </row>
    <row r="164" spans="1:12" x14ac:dyDescent="0.35">
      <c r="A164" t="s">
        <v>4</v>
      </c>
      <c r="B164" t="s">
        <v>10</v>
      </c>
      <c r="C164">
        <v>3.07</v>
      </c>
      <c r="D164" t="s">
        <v>9</v>
      </c>
      <c r="F164" t="s">
        <v>7</v>
      </c>
      <c r="G164" t="s">
        <v>5</v>
      </c>
      <c r="H164">
        <v>3.0001869999999999</v>
      </c>
      <c r="I164" t="s">
        <v>9</v>
      </c>
      <c r="K164">
        <v>4.8009000000000004</v>
      </c>
      <c r="L164">
        <v>0.14021</v>
      </c>
    </row>
    <row r="165" spans="1:12" x14ac:dyDescent="0.35">
      <c r="A165" t="s">
        <v>4</v>
      </c>
      <c r="B165" t="s">
        <v>10</v>
      </c>
      <c r="C165">
        <v>3.03</v>
      </c>
      <c r="D165" t="s">
        <v>9</v>
      </c>
      <c r="F165" t="s">
        <v>7</v>
      </c>
      <c r="G165" t="s">
        <v>5</v>
      </c>
      <c r="H165">
        <v>3.0001869999999999</v>
      </c>
      <c r="I165" t="s">
        <v>9</v>
      </c>
      <c r="K165">
        <v>4.3998999999999997</v>
      </c>
      <c r="L165">
        <v>0.16253999999999999</v>
      </c>
    </row>
    <row r="166" spans="1:12" x14ac:dyDescent="0.35">
      <c r="A166" t="s">
        <v>4</v>
      </c>
      <c r="B166" t="s">
        <v>10</v>
      </c>
      <c r="C166">
        <v>3</v>
      </c>
      <c r="D166" t="s">
        <v>9</v>
      </c>
      <c r="F166" t="s">
        <v>7</v>
      </c>
      <c r="G166" t="s">
        <v>5</v>
      </c>
      <c r="H166">
        <v>3.0001869999999999</v>
      </c>
      <c r="I166" t="s">
        <v>9</v>
      </c>
      <c r="K166">
        <v>4.4703999999999997</v>
      </c>
      <c r="L166">
        <v>0.18609000000000001</v>
      </c>
    </row>
    <row r="167" spans="1:12" x14ac:dyDescent="0.35">
      <c r="A167" t="s">
        <v>4</v>
      </c>
      <c r="B167" t="s">
        <v>10</v>
      </c>
      <c r="C167">
        <v>2.97</v>
      </c>
      <c r="D167" t="s">
        <v>9</v>
      </c>
      <c r="F167" t="s">
        <v>7</v>
      </c>
      <c r="G167" t="s">
        <v>5</v>
      </c>
      <c r="H167">
        <v>3.0001869999999999</v>
      </c>
      <c r="I167" t="s">
        <v>9</v>
      </c>
      <c r="K167">
        <v>4.4546999999999999</v>
      </c>
      <c r="L167">
        <v>0.17457</v>
      </c>
    </row>
    <row r="169" spans="1:12" x14ac:dyDescent="0.35">
      <c r="A169" t="s">
        <v>4</v>
      </c>
      <c r="B169" t="s">
        <v>5</v>
      </c>
      <c r="C169">
        <v>3.13</v>
      </c>
      <c r="D169" t="s">
        <v>6</v>
      </c>
      <c r="F169" t="s">
        <v>7</v>
      </c>
      <c r="G169" t="s">
        <v>5</v>
      </c>
      <c r="H169">
        <v>3.0001199999999999</v>
      </c>
      <c r="I169" t="s">
        <v>9</v>
      </c>
      <c r="K169">
        <v>4.7973999999999997</v>
      </c>
      <c r="L169">
        <v>0.12662000000000001</v>
      </c>
    </row>
    <row r="170" spans="1:12" x14ac:dyDescent="0.35">
      <c r="A170" t="s">
        <v>4</v>
      </c>
      <c r="B170" t="s">
        <v>5</v>
      </c>
      <c r="C170">
        <v>3.1</v>
      </c>
      <c r="D170" t="s">
        <v>6</v>
      </c>
      <c r="F170" t="s">
        <v>7</v>
      </c>
      <c r="G170" t="s">
        <v>5</v>
      </c>
      <c r="H170">
        <v>3.0001199999999999</v>
      </c>
      <c r="I170" t="s">
        <v>9</v>
      </c>
      <c r="K170">
        <v>4.7759999999999998</v>
      </c>
      <c r="L170">
        <v>0.13532</v>
      </c>
    </row>
    <row r="171" spans="1:12" x14ac:dyDescent="0.35">
      <c r="A171" t="s">
        <v>4</v>
      </c>
      <c r="B171" t="s">
        <v>5</v>
      </c>
      <c r="C171">
        <v>3.07</v>
      </c>
      <c r="D171" t="s">
        <v>6</v>
      </c>
      <c r="F171" t="s">
        <v>7</v>
      </c>
      <c r="G171" t="s">
        <v>5</v>
      </c>
      <c r="H171">
        <v>3.0001199999999999</v>
      </c>
      <c r="I171" t="s">
        <v>9</v>
      </c>
      <c r="K171">
        <v>4.5819999999999999</v>
      </c>
      <c r="L171">
        <v>0.12912000000000001</v>
      </c>
    </row>
    <row r="172" spans="1:12" x14ac:dyDescent="0.35">
      <c r="A172" t="s">
        <v>4</v>
      </c>
      <c r="B172" t="s">
        <v>5</v>
      </c>
      <c r="C172">
        <v>3.03</v>
      </c>
      <c r="D172" t="s">
        <v>6</v>
      </c>
      <c r="F172" t="s">
        <v>7</v>
      </c>
      <c r="G172" t="s">
        <v>5</v>
      </c>
      <c r="H172">
        <v>3.0001199999999999</v>
      </c>
      <c r="I172" t="s">
        <v>9</v>
      </c>
      <c r="K172">
        <v>4.6166999999999998</v>
      </c>
      <c r="L172">
        <v>0.13281999999999999</v>
      </c>
    </row>
    <row r="174" spans="1:12" x14ac:dyDescent="0.35">
      <c r="A174" t="s">
        <v>4</v>
      </c>
      <c r="B174" t="s">
        <v>14</v>
      </c>
      <c r="C174">
        <v>3.13</v>
      </c>
      <c r="F174" t="s">
        <v>7</v>
      </c>
      <c r="G174" t="s">
        <v>5</v>
      </c>
      <c r="H174">
        <v>3.0001199999999999</v>
      </c>
      <c r="I174" t="s">
        <v>9</v>
      </c>
      <c r="K174">
        <v>4.6637000000000004</v>
      </c>
      <c r="L174">
        <v>0.13169</v>
      </c>
    </row>
    <row r="175" spans="1:12" x14ac:dyDescent="0.35">
      <c r="A175" t="s">
        <v>4</v>
      </c>
      <c r="B175" t="s">
        <v>14</v>
      </c>
      <c r="C175">
        <v>3.1</v>
      </c>
      <c r="F175" t="s">
        <v>7</v>
      </c>
      <c r="G175" t="s">
        <v>5</v>
      </c>
      <c r="H175">
        <v>3.0001199999999999</v>
      </c>
      <c r="I175" t="s">
        <v>9</v>
      </c>
      <c r="K175">
        <v>4.5876999999999999</v>
      </c>
      <c r="L175">
        <v>0.15584000000000001</v>
      </c>
    </row>
    <row r="176" spans="1:12" x14ac:dyDescent="0.35">
      <c r="A176" t="s">
        <v>4</v>
      </c>
      <c r="B176" t="s">
        <v>14</v>
      </c>
      <c r="C176">
        <v>3.07</v>
      </c>
      <c r="F176" t="s">
        <v>7</v>
      </c>
      <c r="G176" t="s">
        <v>5</v>
      </c>
      <c r="H176">
        <v>3.0001199999999999</v>
      </c>
      <c r="I176" t="s">
        <v>9</v>
      </c>
      <c r="K176">
        <v>4.6123000000000003</v>
      </c>
      <c r="L176">
        <v>0.13333999999999999</v>
      </c>
    </row>
    <row r="177" spans="1:12" x14ac:dyDescent="0.35">
      <c r="A177" t="s">
        <v>4</v>
      </c>
      <c r="B177" t="s">
        <v>14</v>
      </c>
      <c r="C177">
        <v>3.03</v>
      </c>
      <c r="F177" t="s">
        <v>7</v>
      </c>
      <c r="G177" t="s">
        <v>5</v>
      </c>
      <c r="H177">
        <v>3.0001199999999999</v>
      </c>
      <c r="I177" t="s">
        <v>9</v>
      </c>
      <c r="K177">
        <v>4.6993999999999998</v>
      </c>
      <c r="L177">
        <v>0.1686</v>
      </c>
    </row>
    <row r="178" spans="1:12" x14ac:dyDescent="0.35">
      <c r="A178" t="s">
        <v>4</v>
      </c>
      <c r="B178" t="s">
        <v>14</v>
      </c>
      <c r="C178">
        <v>3</v>
      </c>
      <c r="F178" t="s">
        <v>7</v>
      </c>
      <c r="G178" t="s">
        <v>5</v>
      </c>
      <c r="H178">
        <v>3.0001199999999999</v>
      </c>
      <c r="I178" t="s">
        <v>9</v>
      </c>
      <c r="K178">
        <v>4.5911</v>
      </c>
      <c r="L178">
        <v>0.20912</v>
      </c>
    </row>
    <row r="179" spans="1:12" x14ac:dyDescent="0.35">
      <c r="A179" t="s">
        <v>4</v>
      </c>
      <c r="B179" t="s">
        <v>14</v>
      </c>
      <c r="C179">
        <v>2.97</v>
      </c>
      <c r="F179" t="s">
        <v>7</v>
      </c>
      <c r="G179" t="s">
        <v>5</v>
      </c>
      <c r="H179">
        <v>3.0001199999999999</v>
      </c>
      <c r="I179" t="s">
        <v>9</v>
      </c>
      <c r="K179">
        <v>4.6898</v>
      </c>
      <c r="L179">
        <v>0.13592000000000001</v>
      </c>
    </row>
    <row r="181" spans="1:12" x14ac:dyDescent="0.35">
      <c r="A181" t="s">
        <v>4</v>
      </c>
      <c r="B181" t="s">
        <v>15</v>
      </c>
      <c r="C181">
        <v>3.13</v>
      </c>
      <c r="F181" t="s">
        <v>7</v>
      </c>
      <c r="G181" t="s">
        <v>5</v>
      </c>
      <c r="H181">
        <v>3.0001199999999999</v>
      </c>
      <c r="I181" t="s">
        <v>9</v>
      </c>
      <c r="K181">
        <v>4.4610000000000003</v>
      </c>
      <c r="L181">
        <v>0.13483999999999999</v>
      </c>
    </row>
    <row r="182" spans="1:12" x14ac:dyDescent="0.35">
      <c r="A182" t="s">
        <v>4</v>
      </c>
      <c r="B182" t="s">
        <v>15</v>
      </c>
      <c r="C182">
        <v>3.1</v>
      </c>
      <c r="F182" t="s">
        <v>7</v>
      </c>
      <c r="G182" t="s">
        <v>5</v>
      </c>
      <c r="H182">
        <v>3.0001199999999999</v>
      </c>
      <c r="I182" t="s">
        <v>9</v>
      </c>
      <c r="K182">
        <v>4.4001999999999999</v>
      </c>
      <c r="L182">
        <v>0.15915000000000001</v>
      </c>
    </row>
    <row r="183" spans="1:12" x14ac:dyDescent="0.35">
      <c r="A183" t="s">
        <v>4</v>
      </c>
      <c r="B183" t="s">
        <v>15</v>
      </c>
      <c r="C183">
        <v>3.07</v>
      </c>
      <c r="F183" t="s">
        <v>7</v>
      </c>
      <c r="G183" t="s">
        <v>5</v>
      </c>
      <c r="H183">
        <v>3.0001199999999999</v>
      </c>
      <c r="I183" t="s">
        <v>9</v>
      </c>
      <c r="K183">
        <v>4.1989000000000001</v>
      </c>
      <c r="L183">
        <v>0.20055000000000001</v>
      </c>
    </row>
    <row r="184" spans="1:12" x14ac:dyDescent="0.35">
      <c r="A184" t="s">
        <v>4</v>
      </c>
      <c r="B184" t="s">
        <v>15</v>
      </c>
      <c r="C184">
        <v>3.03</v>
      </c>
      <c r="F184" t="s">
        <v>7</v>
      </c>
      <c r="G184" t="s">
        <v>5</v>
      </c>
      <c r="H184">
        <v>3.0001199999999999</v>
      </c>
      <c r="I184" t="s">
        <v>9</v>
      </c>
      <c r="K184">
        <v>4.2770000000000001</v>
      </c>
      <c r="L184">
        <v>0.15162</v>
      </c>
    </row>
    <row r="185" spans="1:12" x14ac:dyDescent="0.35">
      <c r="A185" t="s">
        <v>4</v>
      </c>
      <c r="B185" t="s">
        <v>15</v>
      </c>
      <c r="C185">
        <v>3</v>
      </c>
      <c r="F185" t="s">
        <v>7</v>
      </c>
      <c r="G185" t="s">
        <v>5</v>
      </c>
      <c r="H185">
        <v>3.0001199999999999</v>
      </c>
      <c r="I185" t="s">
        <v>9</v>
      </c>
      <c r="K185">
        <v>4.1843000000000004</v>
      </c>
      <c r="L185">
        <v>0.16997999999999999</v>
      </c>
    </row>
    <row r="186" spans="1:12" x14ac:dyDescent="0.35">
      <c r="A186" t="s">
        <v>4</v>
      </c>
      <c r="B186" t="s">
        <v>15</v>
      </c>
      <c r="C186">
        <v>2.97</v>
      </c>
      <c r="F186" t="s">
        <v>7</v>
      </c>
      <c r="G186" t="s">
        <v>5</v>
      </c>
      <c r="H186">
        <v>3.0001199999999999</v>
      </c>
      <c r="I186" t="s">
        <v>9</v>
      </c>
      <c r="K186">
        <v>4.1105</v>
      </c>
      <c r="L186">
        <v>0.16034999999999999</v>
      </c>
    </row>
    <row r="188" spans="1:12" x14ac:dyDescent="0.35">
      <c r="A188" t="s">
        <v>4</v>
      </c>
      <c r="B188" t="s">
        <v>11</v>
      </c>
      <c r="C188">
        <v>3</v>
      </c>
      <c r="D188" t="s">
        <v>13</v>
      </c>
      <c r="F188" t="s">
        <v>7</v>
      </c>
      <c r="G188" t="s">
        <v>5</v>
      </c>
      <c r="H188">
        <v>3.0001199999999999</v>
      </c>
      <c r="I188" t="s">
        <v>9</v>
      </c>
      <c r="K188">
        <v>4.7394999999999996</v>
      </c>
      <c r="L188">
        <v>0.13866000000000001</v>
      </c>
    </row>
    <row r="189" spans="1:12" x14ac:dyDescent="0.35">
      <c r="A189" t="s">
        <v>4</v>
      </c>
      <c r="B189" t="s">
        <v>11</v>
      </c>
      <c r="C189">
        <v>2.97</v>
      </c>
      <c r="D189" t="s">
        <v>13</v>
      </c>
      <c r="F189" t="s">
        <v>7</v>
      </c>
      <c r="G189" t="s">
        <v>5</v>
      </c>
      <c r="H189">
        <v>3.0001199999999999</v>
      </c>
      <c r="I189" t="s">
        <v>9</v>
      </c>
      <c r="K189">
        <v>4.1456999999999997</v>
      </c>
      <c r="L189">
        <v>0.18625</v>
      </c>
    </row>
    <row r="191" spans="1:12" x14ac:dyDescent="0.35">
      <c r="A191" t="s">
        <v>4</v>
      </c>
      <c r="B191" t="s">
        <v>10</v>
      </c>
      <c r="C191">
        <v>3.07</v>
      </c>
      <c r="D191" t="s">
        <v>9</v>
      </c>
      <c r="F191" t="s">
        <v>7</v>
      </c>
      <c r="G191" t="s">
        <v>5</v>
      </c>
      <c r="H191">
        <v>3.0001199999999999</v>
      </c>
      <c r="I191" t="s">
        <v>9</v>
      </c>
      <c r="K191">
        <v>4.5662000000000003</v>
      </c>
      <c r="L191">
        <v>0.14465</v>
      </c>
    </row>
    <row r="192" spans="1:12" x14ac:dyDescent="0.35">
      <c r="A192" t="s">
        <v>4</v>
      </c>
      <c r="B192" t="s">
        <v>10</v>
      </c>
      <c r="C192">
        <v>3.03</v>
      </c>
      <c r="D192" t="s">
        <v>9</v>
      </c>
      <c r="F192" t="s">
        <v>7</v>
      </c>
      <c r="G192" t="s">
        <v>5</v>
      </c>
      <c r="H192">
        <v>3.0001199999999999</v>
      </c>
      <c r="I192" t="s">
        <v>9</v>
      </c>
      <c r="K192">
        <v>4.2222999999999997</v>
      </c>
      <c r="L192">
        <v>0.17921000000000001</v>
      </c>
    </row>
    <row r="193" spans="1:12" x14ac:dyDescent="0.35">
      <c r="A193" t="s">
        <v>4</v>
      </c>
      <c r="B193" t="s">
        <v>10</v>
      </c>
      <c r="C193">
        <v>3</v>
      </c>
      <c r="D193" t="s">
        <v>9</v>
      </c>
      <c r="F193" t="s">
        <v>7</v>
      </c>
      <c r="G193" t="s">
        <v>5</v>
      </c>
      <c r="H193">
        <v>3.0001199999999999</v>
      </c>
      <c r="I193" t="s">
        <v>9</v>
      </c>
      <c r="K193">
        <v>4.2248000000000001</v>
      </c>
      <c r="L193">
        <v>0.16883000000000001</v>
      </c>
    </row>
    <row r="194" spans="1:12" x14ac:dyDescent="0.35">
      <c r="A194" t="s">
        <v>4</v>
      </c>
      <c r="B194" t="s">
        <v>10</v>
      </c>
      <c r="C194">
        <v>2.97</v>
      </c>
      <c r="D194" t="s">
        <v>9</v>
      </c>
      <c r="F194" t="s">
        <v>7</v>
      </c>
      <c r="G194" t="s">
        <v>5</v>
      </c>
      <c r="H194">
        <v>3.0001199999999999</v>
      </c>
      <c r="I194" t="s">
        <v>9</v>
      </c>
      <c r="K194">
        <v>4.1976000000000004</v>
      </c>
      <c r="L194">
        <v>0.18448999999999999</v>
      </c>
    </row>
    <row r="196" spans="1:12" x14ac:dyDescent="0.35">
      <c r="A196" t="s">
        <v>4</v>
      </c>
      <c r="B196" t="s">
        <v>5</v>
      </c>
      <c r="C196">
        <v>3.13</v>
      </c>
      <c r="D196" t="s">
        <v>6</v>
      </c>
      <c r="F196" t="s">
        <v>7</v>
      </c>
      <c r="G196" t="s">
        <v>5</v>
      </c>
      <c r="H196">
        <v>3.0000599999999999</v>
      </c>
      <c r="I196" t="s">
        <v>9</v>
      </c>
      <c r="K196">
        <v>3.3178999999999998</v>
      </c>
      <c r="L196">
        <v>0.13469</v>
      </c>
    </row>
    <row r="197" spans="1:12" x14ac:dyDescent="0.35">
      <c r="A197" t="s">
        <v>4</v>
      </c>
      <c r="B197" t="s">
        <v>5</v>
      </c>
      <c r="C197">
        <v>3.1</v>
      </c>
      <c r="D197" t="s">
        <v>6</v>
      </c>
      <c r="F197" t="s">
        <v>7</v>
      </c>
      <c r="G197" t="s">
        <v>5</v>
      </c>
      <c r="H197">
        <v>3.0000599999999999</v>
      </c>
      <c r="I197" t="s">
        <v>9</v>
      </c>
      <c r="K197">
        <v>3.3479999999999999</v>
      </c>
      <c r="L197">
        <v>0.13134000000000001</v>
      </c>
    </row>
    <row r="198" spans="1:12" x14ac:dyDescent="0.35">
      <c r="A198" t="s">
        <v>4</v>
      </c>
      <c r="B198" t="s">
        <v>5</v>
      </c>
      <c r="C198">
        <v>3.07</v>
      </c>
      <c r="D198" t="s">
        <v>6</v>
      </c>
      <c r="F198" t="s">
        <v>7</v>
      </c>
      <c r="G198" t="s">
        <v>5</v>
      </c>
      <c r="H198">
        <v>3.0000599999999999</v>
      </c>
      <c r="I198" t="s">
        <v>9</v>
      </c>
      <c r="K198">
        <v>3.2235</v>
      </c>
      <c r="L198">
        <v>0.12928999999999999</v>
      </c>
    </row>
    <row r="199" spans="1:12" x14ac:dyDescent="0.35">
      <c r="A199" t="s">
        <v>4</v>
      </c>
      <c r="B199" t="s">
        <v>5</v>
      </c>
      <c r="C199">
        <v>3.03</v>
      </c>
      <c r="D199" t="s">
        <v>6</v>
      </c>
      <c r="F199" t="s">
        <v>7</v>
      </c>
      <c r="G199" t="s">
        <v>5</v>
      </c>
      <c r="H199">
        <v>3.0000599999999999</v>
      </c>
      <c r="I199" t="s">
        <v>9</v>
      </c>
      <c r="K199">
        <v>3.1920999999999999</v>
      </c>
      <c r="L199">
        <v>0.14182</v>
      </c>
    </row>
    <row r="201" spans="1:12" x14ac:dyDescent="0.35">
      <c r="A201" t="s">
        <v>4</v>
      </c>
      <c r="B201" t="s">
        <v>14</v>
      </c>
      <c r="C201">
        <v>3.13</v>
      </c>
      <c r="F201" t="s">
        <v>7</v>
      </c>
      <c r="G201" t="s">
        <v>5</v>
      </c>
      <c r="H201">
        <v>3.0000599999999999</v>
      </c>
      <c r="I201" t="s">
        <v>9</v>
      </c>
      <c r="K201">
        <v>3.2843</v>
      </c>
      <c r="L201">
        <v>0.14635999999999999</v>
      </c>
    </row>
    <row r="202" spans="1:12" x14ac:dyDescent="0.35">
      <c r="A202" t="s">
        <v>4</v>
      </c>
      <c r="B202" t="s">
        <v>14</v>
      </c>
      <c r="C202">
        <v>3.1</v>
      </c>
      <c r="F202" t="s">
        <v>7</v>
      </c>
      <c r="G202" t="s">
        <v>5</v>
      </c>
      <c r="H202">
        <v>3.0000599999999999</v>
      </c>
      <c r="I202" t="s">
        <v>9</v>
      </c>
      <c r="K202">
        <v>3.2911000000000001</v>
      </c>
      <c r="L202">
        <v>0.14008999999999999</v>
      </c>
    </row>
    <row r="203" spans="1:12" x14ac:dyDescent="0.35">
      <c r="A203" t="s">
        <v>4</v>
      </c>
      <c r="B203" t="s">
        <v>14</v>
      </c>
      <c r="C203">
        <v>3.07</v>
      </c>
      <c r="F203" t="s">
        <v>7</v>
      </c>
      <c r="G203" t="s">
        <v>5</v>
      </c>
      <c r="H203">
        <v>3.0000599999999999</v>
      </c>
      <c r="I203" t="s">
        <v>9</v>
      </c>
      <c r="K203">
        <v>3.2639</v>
      </c>
      <c r="L203">
        <v>0.13164000000000001</v>
      </c>
    </row>
    <row r="204" spans="1:12" x14ac:dyDescent="0.35">
      <c r="A204" t="s">
        <v>4</v>
      </c>
      <c r="B204" t="s">
        <v>14</v>
      </c>
      <c r="C204">
        <v>3.03</v>
      </c>
      <c r="F204" t="s">
        <v>7</v>
      </c>
      <c r="G204" t="s">
        <v>5</v>
      </c>
      <c r="H204">
        <v>3.0000599999999999</v>
      </c>
      <c r="I204" t="s">
        <v>9</v>
      </c>
      <c r="K204">
        <v>3.3589000000000002</v>
      </c>
      <c r="L204">
        <v>0.17008999999999999</v>
      </c>
    </row>
    <row r="205" spans="1:12" x14ac:dyDescent="0.35">
      <c r="A205" t="s">
        <v>4</v>
      </c>
      <c r="B205" t="s">
        <v>14</v>
      </c>
      <c r="C205">
        <v>3</v>
      </c>
      <c r="F205" t="s">
        <v>7</v>
      </c>
      <c r="G205" t="s">
        <v>5</v>
      </c>
      <c r="H205">
        <v>3.0000599999999999</v>
      </c>
      <c r="I205" t="s">
        <v>9</v>
      </c>
      <c r="K205">
        <v>3.2345000000000002</v>
      </c>
      <c r="L205">
        <v>0.21063000000000001</v>
      </c>
    </row>
    <row r="206" spans="1:12" x14ac:dyDescent="0.35">
      <c r="A206" t="s">
        <v>4</v>
      </c>
      <c r="B206" t="s">
        <v>14</v>
      </c>
      <c r="C206">
        <v>2.97</v>
      </c>
      <c r="F206" t="s">
        <v>7</v>
      </c>
      <c r="G206" t="s">
        <v>5</v>
      </c>
      <c r="H206">
        <v>3.0000599999999999</v>
      </c>
      <c r="I206" t="s">
        <v>9</v>
      </c>
      <c r="K206">
        <v>3.2808000000000002</v>
      </c>
      <c r="L206">
        <v>0.17125000000000001</v>
      </c>
    </row>
    <row r="208" spans="1:12" x14ac:dyDescent="0.35">
      <c r="A208" t="s">
        <v>4</v>
      </c>
      <c r="B208" t="s">
        <v>15</v>
      </c>
      <c r="C208">
        <v>3.13</v>
      </c>
      <c r="F208" t="s">
        <v>7</v>
      </c>
      <c r="G208" t="s">
        <v>5</v>
      </c>
      <c r="H208">
        <v>3.0000599999999999</v>
      </c>
      <c r="I208" t="s">
        <v>9</v>
      </c>
      <c r="K208">
        <v>3.0808</v>
      </c>
      <c r="L208">
        <v>0.14538999999999999</v>
      </c>
    </row>
    <row r="209" spans="1:12" x14ac:dyDescent="0.35">
      <c r="A209" t="s">
        <v>4</v>
      </c>
      <c r="B209" t="s">
        <v>15</v>
      </c>
      <c r="C209">
        <v>3.1</v>
      </c>
      <c r="F209" t="s">
        <v>7</v>
      </c>
      <c r="G209" t="s">
        <v>5</v>
      </c>
      <c r="H209">
        <v>3.0000599999999999</v>
      </c>
      <c r="I209" t="s">
        <v>9</v>
      </c>
      <c r="K209">
        <v>3.0701999999999998</v>
      </c>
      <c r="L209">
        <v>0.16905000000000001</v>
      </c>
    </row>
    <row r="210" spans="1:12" x14ac:dyDescent="0.35">
      <c r="A210" t="s">
        <v>4</v>
      </c>
      <c r="B210" t="s">
        <v>15</v>
      </c>
      <c r="C210">
        <v>3.07</v>
      </c>
      <c r="F210" t="s">
        <v>7</v>
      </c>
      <c r="G210" t="s">
        <v>5</v>
      </c>
      <c r="H210">
        <v>3.0000599999999999</v>
      </c>
      <c r="I210" t="s">
        <v>9</v>
      </c>
      <c r="K210">
        <v>2.9519000000000002</v>
      </c>
      <c r="L210">
        <v>0.19647999999999999</v>
      </c>
    </row>
    <row r="211" spans="1:12" x14ac:dyDescent="0.35">
      <c r="A211" t="s">
        <v>4</v>
      </c>
      <c r="B211" t="s">
        <v>15</v>
      </c>
      <c r="C211">
        <v>3.03</v>
      </c>
      <c r="F211" t="s">
        <v>7</v>
      </c>
      <c r="G211" t="s">
        <v>5</v>
      </c>
      <c r="H211">
        <v>3.0000599999999999</v>
      </c>
      <c r="I211" t="s">
        <v>9</v>
      </c>
      <c r="K211">
        <v>2.9298999999999999</v>
      </c>
      <c r="L211">
        <v>0.15051999999999999</v>
      </c>
    </row>
    <row r="212" spans="1:12" x14ac:dyDescent="0.35">
      <c r="A212" t="s">
        <v>4</v>
      </c>
      <c r="B212" t="s">
        <v>15</v>
      </c>
      <c r="C212">
        <v>3</v>
      </c>
      <c r="F212" t="s">
        <v>7</v>
      </c>
      <c r="G212" t="s">
        <v>5</v>
      </c>
      <c r="H212">
        <v>3.0000599999999999</v>
      </c>
      <c r="I212" t="s">
        <v>9</v>
      </c>
      <c r="K212">
        <v>2.9249999999999998</v>
      </c>
      <c r="L212">
        <v>0.17635999999999999</v>
      </c>
    </row>
    <row r="213" spans="1:12" x14ac:dyDescent="0.35">
      <c r="A213" t="s">
        <v>4</v>
      </c>
      <c r="B213" t="s">
        <v>15</v>
      </c>
      <c r="C213">
        <v>2.97</v>
      </c>
      <c r="F213" t="s">
        <v>7</v>
      </c>
      <c r="G213" t="s">
        <v>5</v>
      </c>
      <c r="H213">
        <v>3.0000599999999999</v>
      </c>
      <c r="I213" t="s">
        <v>9</v>
      </c>
      <c r="K213">
        <v>2.8370000000000002</v>
      </c>
      <c r="L213">
        <v>0.15098</v>
      </c>
    </row>
    <row r="215" spans="1:12" x14ac:dyDescent="0.35">
      <c r="A215" t="s">
        <v>4</v>
      </c>
      <c r="B215" t="s">
        <v>11</v>
      </c>
      <c r="C215">
        <v>3</v>
      </c>
      <c r="D215" t="s">
        <v>13</v>
      </c>
      <c r="F215" t="s">
        <v>7</v>
      </c>
      <c r="G215" t="s">
        <v>5</v>
      </c>
      <c r="H215">
        <v>3.0000599999999999</v>
      </c>
      <c r="I215" t="s">
        <v>9</v>
      </c>
      <c r="K215">
        <v>3.3525999999999998</v>
      </c>
      <c r="L215">
        <v>0.13288</v>
      </c>
    </row>
    <row r="216" spans="1:12" x14ac:dyDescent="0.35">
      <c r="A216" t="s">
        <v>4</v>
      </c>
      <c r="B216" t="s">
        <v>11</v>
      </c>
      <c r="C216">
        <v>2.97</v>
      </c>
      <c r="D216" t="s">
        <v>13</v>
      </c>
      <c r="F216" t="s">
        <v>7</v>
      </c>
      <c r="G216" t="s">
        <v>5</v>
      </c>
      <c r="H216">
        <v>3.0000599999999999</v>
      </c>
      <c r="I216" t="s">
        <v>9</v>
      </c>
      <c r="K216">
        <v>2.8965999999999998</v>
      </c>
      <c r="L216">
        <v>0.16542000000000001</v>
      </c>
    </row>
    <row r="218" spans="1:12" x14ac:dyDescent="0.35">
      <c r="A218" t="s">
        <v>4</v>
      </c>
      <c r="B218" t="s">
        <v>10</v>
      </c>
      <c r="C218">
        <v>3.07</v>
      </c>
      <c r="D218" t="s">
        <v>9</v>
      </c>
      <c r="F218" t="s">
        <v>7</v>
      </c>
      <c r="G218" t="s">
        <v>5</v>
      </c>
      <c r="H218">
        <v>3.0000599999999999</v>
      </c>
      <c r="I218" t="s">
        <v>9</v>
      </c>
      <c r="K218">
        <v>3.1516000000000002</v>
      </c>
      <c r="L218">
        <v>0.14735999999999999</v>
      </c>
    </row>
    <row r="219" spans="1:12" x14ac:dyDescent="0.35">
      <c r="A219" t="s">
        <v>4</v>
      </c>
      <c r="B219" t="s">
        <v>10</v>
      </c>
      <c r="C219">
        <v>3.03</v>
      </c>
      <c r="D219" t="s">
        <v>9</v>
      </c>
      <c r="F219" t="s">
        <v>7</v>
      </c>
      <c r="G219" t="s">
        <v>5</v>
      </c>
      <c r="H219">
        <v>3.0000599999999999</v>
      </c>
      <c r="I219" t="s">
        <v>9</v>
      </c>
      <c r="K219">
        <v>2.9291999999999998</v>
      </c>
      <c r="L219">
        <v>0.16034000000000001</v>
      </c>
    </row>
    <row r="220" spans="1:12" x14ac:dyDescent="0.35">
      <c r="A220" t="s">
        <v>4</v>
      </c>
      <c r="B220" t="s">
        <v>10</v>
      </c>
      <c r="C220">
        <v>3</v>
      </c>
      <c r="D220" t="s">
        <v>9</v>
      </c>
      <c r="F220" t="s">
        <v>7</v>
      </c>
      <c r="G220" t="s">
        <v>5</v>
      </c>
      <c r="H220">
        <v>3.0000599999999999</v>
      </c>
      <c r="I220" t="s">
        <v>9</v>
      </c>
      <c r="K220">
        <v>2.8925999999999998</v>
      </c>
      <c r="L220">
        <v>0.15673000000000001</v>
      </c>
    </row>
    <row r="221" spans="1:12" x14ac:dyDescent="0.35">
      <c r="A221" t="s">
        <v>4</v>
      </c>
      <c r="B221" t="s">
        <v>10</v>
      </c>
      <c r="C221">
        <v>2.97</v>
      </c>
      <c r="D221" t="s">
        <v>9</v>
      </c>
      <c r="F221" t="s">
        <v>7</v>
      </c>
      <c r="G221" t="s">
        <v>5</v>
      </c>
      <c r="H221">
        <v>3.0000599999999999</v>
      </c>
      <c r="I221" t="s">
        <v>9</v>
      </c>
      <c r="K221">
        <v>2.8071999999999999</v>
      </c>
      <c r="L221">
        <v>0.14793000000000001</v>
      </c>
    </row>
  </sheetData>
  <mergeCells count="7">
    <mergeCell ref="AD1:AF1"/>
    <mergeCell ref="AG1:AI1"/>
    <mergeCell ref="AJ1:AK1"/>
    <mergeCell ref="O1:Q1"/>
    <mergeCell ref="R1:T1"/>
    <mergeCell ref="U1:W1"/>
    <mergeCell ref="AA1:AC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7B8F8-D803-46C9-ABEF-AB011C29F287}">
  <dimension ref="A1:AK221"/>
  <sheetViews>
    <sheetView tabSelected="1" workbookViewId="0">
      <selection activeCell="O1" sqref="O1:X38"/>
    </sheetView>
  </sheetViews>
  <sheetFormatPr defaultRowHeight="14.5" x14ac:dyDescent="0.35"/>
  <cols>
    <col min="4" max="4" width="12.26953125" bestFit="1" customWidth="1"/>
    <col min="9" max="9" width="10" bestFit="1" customWidth="1"/>
    <col min="11" max="11" width="11.36328125" bestFit="1" customWidth="1"/>
    <col min="12" max="12" width="22.7265625" bestFit="1" customWidth="1"/>
    <col min="21" max="21" width="10" bestFit="1" customWidth="1"/>
    <col min="22" max="22" width="6.81640625" bestFit="1" customWidth="1"/>
    <col min="23" max="24" width="7.81640625" bestFit="1" customWidth="1"/>
    <col min="25" max="25" width="17.08984375" bestFit="1" customWidth="1"/>
    <col min="33" max="33" width="10.453125" bestFit="1" customWidth="1"/>
    <col min="34" max="34" width="11.81640625" bestFit="1" customWidth="1"/>
    <col min="35" max="35" width="24" bestFit="1" customWidth="1"/>
    <col min="36" max="36" width="17.1796875" bestFit="1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H1" t="s">
        <v>2</v>
      </c>
      <c r="I1" t="s">
        <v>3</v>
      </c>
      <c r="K1" t="s">
        <v>8</v>
      </c>
      <c r="L1" t="s">
        <v>16</v>
      </c>
      <c r="O1" s="7" t="s">
        <v>17</v>
      </c>
      <c r="P1" s="7"/>
      <c r="Q1" s="7"/>
      <c r="R1" s="7" t="s">
        <v>18</v>
      </c>
      <c r="S1" s="7"/>
      <c r="T1" s="7"/>
      <c r="U1" s="7" t="s">
        <v>19</v>
      </c>
      <c r="V1" s="7"/>
      <c r="W1" s="7"/>
      <c r="X1" s="4" t="s">
        <v>20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x14ac:dyDescent="0.35">
      <c r="A2" t="s">
        <v>4</v>
      </c>
      <c r="B2" t="s">
        <v>5</v>
      </c>
      <c r="C2">
        <v>3.1</v>
      </c>
      <c r="D2" t="s">
        <v>6</v>
      </c>
      <c r="F2" t="s">
        <v>7</v>
      </c>
      <c r="G2" t="s">
        <v>5</v>
      </c>
      <c r="H2">
        <v>3.0005000000000002</v>
      </c>
      <c r="I2" t="s">
        <v>6</v>
      </c>
      <c r="K2">
        <v>5.2927</v>
      </c>
      <c r="L2">
        <v>0.19541</v>
      </c>
      <c r="O2" s="4" t="s">
        <v>0</v>
      </c>
      <c r="P2" s="4" t="s">
        <v>1</v>
      </c>
      <c r="Q2" s="4" t="s">
        <v>2</v>
      </c>
      <c r="R2" s="4" t="s">
        <v>0</v>
      </c>
      <c r="S2" s="4" t="s">
        <v>1</v>
      </c>
      <c r="T2" s="4" t="s">
        <v>2</v>
      </c>
      <c r="U2" s="4" t="s">
        <v>3</v>
      </c>
      <c r="V2" s="4" t="s">
        <v>21</v>
      </c>
      <c r="W2" s="4" t="s">
        <v>22</v>
      </c>
      <c r="X2" s="4" t="s">
        <v>21</v>
      </c>
    </row>
    <row r="3" spans="1:37" x14ac:dyDescent="0.35">
      <c r="A3" t="s">
        <v>4</v>
      </c>
      <c r="B3" t="s">
        <v>5</v>
      </c>
      <c r="C3">
        <v>3.1</v>
      </c>
      <c r="D3" t="s">
        <v>9</v>
      </c>
      <c r="F3" t="s">
        <v>7</v>
      </c>
      <c r="G3" t="s">
        <v>5</v>
      </c>
      <c r="H3">
        <v>3.0005000000000002</v>
      </c>
      <c r="I3" t="s">
        <v>6</v>
      </c>
      <c r="K3">
        <v>5.2117000000000004</v>
      </c>
      <c r="L3">
        <v>0.18357999999999999</v>
      </c>
      <c r="O3" s="2" t="s">
        <v>7</v>
      </c>
      <c r="P3" s="2" t="s">
        <v>14</v>
      </c>
      <c r="Q3" s="2">
        <v>3.03</v>
      </c>
      <c r="R3" s="2" t="s">
        <v>7</v>
      </c>
      <c r="S3" s="2" t="s">
        <v>5</v>
      </c>
      <c r="T3" s="2">
        <v>3.0005000000000002</v>
      </c>
      <c r="U3" s="3" t="s">
        <v>33</v>
      </c>
      <c r="V3" s="2">
        <f>K94</f>
        <v>5.0804</v>
      </c>
      <c r="W3" s="2">
        <f>L94</f>
        <v>0.19542000000000001</v>
      </c>
      <c r="X3" s="2">
        <f>AVERAGE(K93:K94)</f>
        <v>4.9784000000000006</v>
      </c>
      <c r="AG3" s="1"/>
    </row>
    <row r="4" spans="1:37" x14ac:dyDescent="0.35">
      <c r="A4" t="s">
        <v>4</v>
      </c>
      <c r="B4" t="s">
        <v>5</v>
      </c>
      <c r="C4">
        <v>3.1</v>
      </c>
      <c r="D4" t="s">
        <v>6</v>
      </c>
      <c r="F4" t="s">
        <v>7</v>
      </c>
      <c r="G4" t="s">
        <v>5</v>
      </c>
      <c r="H4">
        <v>3.0005000000000002</v>
      </c>
      <c r="I4" t="s">
        <v>9</v>
      </c>
      <c r="K4">
        <v>5.2457000000000003</v>
      </c>
      <c r="L4">
        <v>0.16536999999999999</v>
      </c>
      <c r="O4" t="s">
        <v>7</v>
      </c>
      <c r="P4" t="s">
        <v>14</v>
      </c>
      <c r="Q4">
        <v>3.03</v>
      </c>
      <c r="R4" t="s">
        <v>4</v>
      </c>
      <c r="S4" t="s">
        <v>5</v>
      </c>
      <c r="T4">
        <v>3.0003000000000002</v>
      </c>
      <c r="U4" s="1" t="s">
        <v>33</v>
      </c>
      <c r="V4">
        <f>K115</f>
        <v>5.2929000000000004</v>
      </c>
      <c r="W4">
        <f>L115</f>
        <v>0.2097</v>
      </c>
      <c r="X4">
        <f>AVERAGE(K114:K115)</f>
        <v>5.2027000000000001</v>
      </c>
      <c r="AG4" s="1"/>
    </row>
    <row r="5" spans="1:37" x14ac:dyDescent="0.35">
      <c r="A5" t="s">
        <v>4</v>
      </c>
      <c r="B5" t="s">
        <v>5</v>
      </c>
      <c r="C5">
        <v>3.1</v>
      </c>
      <c r="D5" t="s">
        <v>9</v>
      </c>
      <c r="F5" t="s">
        <v>7</v>
      </c>
      <c r="G5" t="s">
        <v>5</v>
      </c>
      <c r="H5">
        <v>3.0005000000000002</v>
      </c>
      <c r="I5" t="s">
        <v>9</v>
      </c>
      <c r="K5">
        <v>5.1784999999999997</v>
      </c>
      <c r="L5">
        <v>0.19137000000000001</v>
      </c>
      <c r="O5" t="s">
        <v>7</v>
      </c>
      <c r="P5" t="s">
        <v>5</v>
      </c>
      <c r="Q5">
        <v>3.03</v>
      </c>
      <c r="R5" t="s">
        <v>7</v>
      </c>
      <c r="S5" t="s">
        <v>14</v>
      </c>
      <c r="T5">
        <v>3.0003500000000001</v>
      </c>
      <c r="U5" s="1" t="s">
        <v>30</v>
      </c>
      <c r="V5">
        <f>K123</f>
        <v>5.6245000000000003</v>
      </c>
      <c r="W5">
        <f>L123</f>
        <v>0.20823</v>
      </c>
      <c r="X5">
        <f>AVERAGE(K123:K124)</f>
        <v>5.5806000000000004</v>
      </c>
    </row>
    <row r="6" spans="1:37" x14ac:dyDescent="0.35">
      <c r="O6" t="s">
        <v>7</v>
      </c>
      <c r="P6" t="s">
        <v>5</v>
      </c>
      <c r="Q6">
        <v>3.03</v>
      </c>
      <c r="R6" t="s">
        <v>4</v>
      </c>
      <c r="S6" t="s">
        <v>14</v>
      </c>
      <c r="T6">
        <v>3.0003500000000001</v>
      </c>
      <c r="U6" t="s">
        <v>29</v>
      </c>
      <c r="V6">
        <f>K133</f>
        <v>5.8958000000000004</v>
      </c>
      <c r="W6">
        <f>L133</f>
        <v>0.21714</v>
      </c>
      <c r="X6">
        <f>AVERAGE(K132:K133)</f>
        <v>5.8628</v>
      </c>
    </row>
    <row r="7" spans="1:37" x14ac:dyDescent="0.35">
      <c r="A7" t="s">
        <v>4</v>
      </c>
      <c r="B7" t="s">
        <v>5</v>
      </c>
      <c r="C7">
        <v>3.03</v>
      </c>
      <c r="D7" t="s">
        <v>6</v>
      </c>
      <c r="F7" t="s">
        <v>7</v>
      </c>
      <c r="G7" t="s">
        <v>5</v>
      </c>
      <c r="H7">
        <v>3.0005000000000002</v>
      </c>
      <c r="I7" t="s">
        <v>6</v>
      </c>
      <c r="K7">
        <v>5.2168000000000001</v>
      </c>
      <c r="L7">
        <v>0.18633</v>
      </c>
      <c r="O7" s="2" t="s">
        <v>7</v>
      </c>
      <c r="P7" s="2" t="s">
        <v>5</v>
      </c>
      <c r="Q7" s="2">
        <v>3.03</v>
      </c>
      <c r="R7" s="2" t="s">
        <v>7</v>
      </c>
      <c r="S7" s="2" t="s">
        <v>5</v>
      </c>
      <c r="T7" s="2">
        <v>3.0005000000000002</v>
      </c>
      <c r="U7" s="2" t="s">
        <v>24</v>
      </c>
      <c r="V7" s="2">
        <f>K85</f>
        <v>5.0343999999999998</v>
      </c>
      <c r="W7" s="2">
        <f>L85</f>
        <v>0.20963000000000001</v>
      </c>
      <c r="X7" s="2">
        <f>AVERAGE(K83:K86)</f>
        <v>4.9482750000000006</v>
      </c>
    </row>
    <row r="8" spans="1:37" x14ac:dyDescent="0.35">
      <c r="A8" t="s">
        <v>4</v>
      </c>
      <c r="B8" t="s">
        <v>5</v>
      </c>
      <c r="C8">
        <v>3.03</v>
      </c>
      <c r="D8" t="s">
        <v>9</v>
      </c>
      <c r="F8" t="s">
        <v>7</v>
      </c>
      <c r="G8" t="s">
        <v>5</v>
      </c>
      <c r="H8">
        <v>3.0005000000000002</v>
      </c>
      <c r="I8" t="s">
        <v>6</v>
      </c>
      <c r="K8">
        <v>5.1158999999999999</v>
      </c>
      <c r="L8">
        <v>0.18154999999999999</v>
      </c>
      <c r="O8" t="s">
        <v>7</v>
      </c>
      <c r="P8" t="s">
        <v>5</v>
      </c>
      <c r="Q8">
        <v>3.03</v>
      </c>
      <c r="R8" t="s">
        <v>4</v>
      </c>
      <c r="S8" t="s">
        <v>5</v>
      </c>
      <c r="T8">
        <v>3.0003000000000002</v>
      </c>
      <c r="U8" t="s">
        <v>32</v>
      </c>
      <c r="V8">
        <f>K104</f>
        <v>5.1574999999999998</v>
      </c>
      <c r="W8">
        <f>L104</f>
        <v>0.22458</v>
      </c>
      <c r="X8">
        <f>AVERAGE(K104:K107)</f>
        <v>5.1167750000000005</v>
      </c>
    </row>
    <row r="9" spans="1:37" x14ac:dyDescent="0.35">
      <c r="A9" t="s">
        <v>4</v>
      </c>
      <c r="B9" t="s">
        <v>5</v>
      </c>
      <c r="C9">
        <v>3.03</v>
      </c>
      <c r="D9" t="s">
        <v>6</v>
      </c>
      <c r="F9" t="s">
        <v>7</v>
      </c>
      <c r="G9" t="s">
        <v>5</v>
      </c>
      <c r="H9">
        <v>3.0005000000000002</v>
      </c>
      <c r="I9" t="s">
        <v>9</v>
      </c>
      <c r="K9">
        <v>5.2122999999999999</v>
      </c>
      <c r="L9">
        <v>0.17099</v>
      </c>
      <c r="O9" t="s">
        <v>7</v>
      </c>
      <c r="P9" t="s">
        <v>5</v>
      </c>
      <c r="Q9">
        <v>3.1</v>
      </c>
      <c r="R9" t="s">
        <v>7</v>
      </c>
      <c r="S9" t="s">
        <v>14</v>
      </c>
      <c r="T9">
        <v>3.0003500000000001</v>
      </c>
      <c r="U9" s="1" t="s">
        <v>30</v>
      </c>
      <c r="V9">
        <f>K120</f>
        <v>5.6978999999999997</v>
      </c>
      <c r="W9">
        <f>L120</f>
        <v>0.19697000000000001</v>
      </c>
      <c r="X9">
        <f>AVERAGE(K120:K121)</f>
        <v>5.6294000000000004</v>
      </c>
    </row>
    <row r="10" spans="1:37" x14ac:dyDescent="0.35">
      <c r="A10" t="s">
        <v>4</v>
      </c>
      <c r="B10" t="s">
        <v>5</v>
      </c>
      <c r="C10">
        <v>3.03</v>
      </c>
      <c r="D10" t="s">
        <v>9</v>
      </c>
      <c r="F10" t="s">
        <v>7</v>
      </c>
      <c r="G10" t="s">
        <v>5</v>
      </c>
      <c r="H10">
        <v>3.0005000000000002</v>
      </c>
      <c r="I10" t="s">
        <v>9</v>
      </c>
      <c r="K10">
        <v>5.1422999999999996</v>
      </c>
      <c r="L10">
        <v>0.20405999999999999</v>
      </c>
      <c r="O10" t="s">
        <v>7</v>
      </c>
      <c r="P10" t="s">
        <v>5</v>
      </c>
      <c r="Q10">
        <v>3.1</v>
      </c>
      <c r="R10" t="s">
        <v>4</v>
      </c>
      <c r="S10" t="s">
        <v>14</v>
      </c>
      <c r="T10">
        <v>3.0003500000000001</v>
      </c>
      <c r="U10" t="s">
        <v>30</v>
      </c>
      <c r="V10">
        <f>K129</f>
        <v>6.0983999999999998</v>
      </c>
      <c r="W10">
        <f>L129</f>
        <v>0.20030999999999999</v>
      </c>
      <c r="X10">
        <f>AVERAGE(K129:K130)</f>
        <v>6.0095999999999998</v>
      </c>
    </row>
    <row r="11" spans="1:37" x14ac:dyDescent="0.35">
      <c r="O11" s="2" t="s">
        <v>7</v>
      </c>
      <c r="P11" s="2" t="s">
        <v>5</v>
      </c>
      <c r="Q11" s="2">
        <v>3.1</v>
      </c>
      <c r="R11" s="2" t="s">
        <v>7</v>
      </c>
      <c r="S11" s="2" t="s">
        <v>5</v>
      </c>
      <c r="T11" s="2">
        <v>3.0005000000000002</v>
      </c>
      <c r="U11" s="2" t="s">
        <v>32</v>
      </c>
      <c r="V11" s="2">
        <f>K78</f>
        <v>5.1215999999999999</v>
      </c>
      <c r="W11" s="2">
        <f>L78</f>
        <v>0.19166</v>
      </c>
      <c r="X11" s="2">
        <f>AVERAGE(K78:K81)</f>
        <v>4.9923500000000001</v>
      </c>
      <c r="AG11" s="1"/>
    </row>
    <row r="12" spans="1:37" x14ac:dyDescent="0.35">
      <c r="A12" t="s">
        <v>4</v>
      </c>
      <c r="B12" t="s">
        <v>10</v>
      </c>
      <c r="C12">
        <v>3.03</v>
      </c>
      <c r="D12" t="s">
        <v>6</v>
      </c>
      <c r="F12" t="s">
        <v>7</v>
      </c>
      <c r="G12" t="s">
        <v>5</v>
      </c>
      <c r="H12">
        <v>3.0005000000000002</v>
      </c>
      <c r="I12" t="s">
        <v>6</v>
      </c>
      <c r="K12">
        <v>4.8921000000000001</v>
      </c>
      <c r="L12">
        <v>0.21965000000000001</v>
      </c>
      <c r="O12" s="8" t="s">
        <v>7</v>
      </c>
      <c r="P12" s="8" t="s">
        <v>5</v>
      </c>
      <c r="Q12" s="8">
        <v>3.1</v>
      </c>
      <c r="R12" s="8" t="s">
        <v>4</v>
      </c>
      <c r="S12" s="8" t="s">
        <v>5</v>
      </c>
      <c r="T12" s="8">
        <v>3.0003000000000002</v>
      </c>
      <c r="U12" s="8" t="s">
        <v>26</v>
      </c>
      <c r="V12" s="8">
        <f>K100</f>
        <v>5.2727000000000004</v>
      </c>
      <c r="W12" s="8">
        <f>L100</f>
        <v>0.2117</v>
      </c>
      <c r="X12" s="8">
        <f>AVERAGE(K99:K102)</f>
        <v>5.1959750000000007</v>
      </c>
      <c r="AG12" s="1"/>
    </row>
    <row r="13" spans="1:37" x14ac:dyDescent="0.35">
      <c r="A13" t="s">
        <v>4</v>
      </c>
      <c r="B13" t="s">
        <v>10</v>
      </c>
      <c r="C13">
        <v>3.03</v>
      </c>
      <c r="D13" t="s">
        <v>9</v>
      </c>
      <c r="F13" t="s">
        <v>7</v>
      </c>
      <c r="G13" t="s">
        <v>5</v>
      </c>
      <c r="H13">
        <v>3.0005000000000002</v>
      </c>
      <c r="I13" t="s">
        <v>6</v>
      </c>
      <c r="K13">
        <v>4.7586000000000004</v>
      </c>
      <c r="L13">
        <v>0.22863</v>
      </c>
      <c r="O13" s="2" t="s">
        <v>7</v>
      </c>
      <c r="P13" s="2" t="s">
        <v>15</v>
      </c>
      <c r="Q13" s="2">
        <v>3.03</v>
      </c>
      <c r="R13" s="2" t="s">
        <v>7</v>
      </c>
      <c r="S13" s="2" t="s">
        <v>5</v>
      </c>
      <c r="T13" s="2">
        <v>3.0005000000000002</v>
      </c>
      <c r="U13" s="3" t="s">
        <v>28</v>
      </c>
      <c r="V13" s="2">
        <f>K96</f>
        <v>5.1318000000000001</v>
      </c>
      <c r="W13" s="2">
        <f>L96</f>
        <v>0.1673</v>
      </c>
      <c r="X13" s="2">
        <f>AVERAGE(K96:K97)</f>
        <v>4.9607000000000001</v>
      </c>
    </row>
    <row r="14" spans="1:37" x14ac:dyDescent="0.35">
      <c r="A14" t="s">
        <v>4</v>
      </c>
      <c r="B14" t="s">
        <v>10</v>
      </c>
      <c r="C14">
        <v>3.03</v>
      </c>
      <c r="D14" t="s">
        <v>6</v>
      </c>
      <c r="F14" t="s">
        <v>7</v>
      </c>
      <c r="G14" t="s">
        <v>5</v>
      </c>
      <c r="H14">
        <v>3.0005000000000002</v>
      </c>
      <c r="I14" t="s">
        <v>9</v>
      </c>
      <c r="K14">
        <v>4.8411999999999997</v>
      </c>
      <c r="L14">
        <v>0.20599999999999999</v>
      </c>
      <c r="O14" t="s">
        <v>7</v>
      </c>
      <c r="P14" t="s">
        <v>15</v>
      </c>
      <c r="Q14">
        <v>3.03</v>
      </c>
      <c r="R14" t="s">
        <v>4</v>
      </c>
      <c r="S14" t="s">
        <v>5</v>
      </c>
      <c r="T14">
        <v>3.0003000000000002</v>
      </c>
      <c r="U14" s="1" t="s">
        <v>28</v>
      </c>
      <c r="V14">
        <f>K117</f>
        <v>5.1665999999999999</v>
      </c>
      <c r="W14">
        <f>L117</f>
        <v>0.21598000000000001</v>
      </c>
      <c r="X14">
        <f>AVERAGE(K117:K118)</f>
        <v>5.0964999999999998</v>
      </c>
    </row>
    <row r="15" spans="1:37" x14ac:dyDescent="0.35">
      <c r="A15" t="s">
        <v>4</v>
      </c>
      <c r="B15" t="s">
        <v>10</v>
      </c>
      <c r="C15">
        <v>3.03</v>
      </c>
      <c r="D15" t="s">
        <v>9</v>
      </c>
      <c r="F15" t="s">
        <v>7</v>
      </c>
      <c r="G15" t="s">
        <v>5</v>
      </c>
      <c r="H15">
        <v>3.0005000000000002</v>
      </c>
      <c r="I15" t="s">
        <v>9</v>
      </c>
      <c r="K15">
        <v>4.9225000000000003</v>
      </c>
      <c r="L15">
        <v>0.22542000000000001</v>
      </c>
      <c r="O15" t="s">
        <v>7</v>
      </c>
      <c r="P15" t="s">
        <v>11</v>
      </c>
      <c r="Q15">
        <v>3</v>
      </c>
      <c r="R15" t="s">
        <v>7</v>
      </c>
      <c r="S15" t="s">
        <v>14</v>
      </c>
      <c r="T15">
        <v>3.0003500000000001</v>
      </c>
      <c r="U15" t="s">
        <v>31</v>
      </c>
      <c r="V15">
        <f>K127</f>
        <v>5.7546999999999997</v>
      </c>
      <c r="W15">
        <f>L127</f>
        <v>0.18101</v>
      </c>
      <c r="X15">
        <f>AVERAGE(K126:K127)</f>
        <v>5.5896499999999998</v>
      </c>
    </row>
    <row r="16" spans="1:37" x14ac:dyDescent="0.35">
      <c r="O16" t="s">
        <v>7</v>
      </c>
      <c r="P16" t="s">
        <v>11</v>
      </c>
      <c r="Q16">
        <v>3</v>
      </c>
      <c r="R16" t="s">
        <v>4</v>
      </c>
      <c r="S16" t="s">
        <v>14</v>
      </c>
      <c r="T16">
        <v>3.0003500000000001</v>
      </c>
      <c r="U16" t="s">
        <v>35</v>
      </c>
      <c r="V16">
        <f>K135</f>
        <v>5.9527999999999999</v>
      </c>
      <c r="W16">
        <f>L135</f>
        <v>0.22134000000000001</v>
      </c>
      <c r="X16">
        <f>AVERAGE(K135:K136)</f>
        <v>5.8368500000000001</v>
      </c>
      <c r="AG16" s="1"/>
    </row>
    <row r="17" spans="1:33" x14ac:dyDescent="0.35">
      <c r="A17" t="s">
        <v>4</v>
      </c>
      <c r="B17" t="s">
        <v>11</v>
      </c>
      <c r="C17">
        <v>3</v>
      </c>
      <c r="D17" t="s">
        <v>12</v>
      </c>
      <c r="F17" t="s">
        <v>7</v>
      </c>
      <c r="G17" t="s">
        <v>5</v>
      </c>
      <c r="H17">
        <v>3.0005000000000002</v>
      </c>
      <c r="I17" t="s">
        <v>6</v>
      </c>
      <c r="K17">
        <v>5.3757000000000001</v>
      </c>
      <c r="L17">
        <v>0.17493</v>
      </c>
      <c r="O17" s="2" t="s">
        <v>7</v>
      </c>
      <c r="P17" s="2" t="s">
        <v>11</v>
      </c>
      <c r="Q17" s="2">
        <v>3</v>
      </c>
      <c r="R17" s="2" t="s">
        <v>7</v>
      </c>
      <c r="S17" s="2" t="s">
        <v>5</v>
      </c>
      <c r="T17" s="2">
        <v>3.0005000000000002</v>
      </c>
      <c r="U17" s="2" t="s">
        <v>34</v>
      </c>
      <c r="V17" s="2">
        <f>K89</f>
        <v>5.2172000000000001</v>
      </c>
      <c r="W17" s="2">
        <f>L89</f>
        <v>0.15412000000000001</v>
      </c>
      <c r="X17" s="2">
        <f>AVERAGE(K88:K91)</f>
        <v>4.97</v>
      </c>
      <c r="AG17" s="1"/>
    </row>
    <row r="18" spans="1:33" x14ac:dyDescent="0.35">
      <c r="A18" t="s">
        <v>4</v>
      </c>
      <c r="B18" t="s">
        <v>11</v>
      </c>
      <c r="C18">
        <v>3</v>
      </c>
      <c r="D18" t="s">
        <v>13</v>
      </c>
      <c r="F18" t="s">
        <v>7</v>
      </c>
      <c r="G18" t="s">
        <v>5</v>
      </c>
      <c r="H18">
        <v>3.0005000000000002</v>
      </c>
      <c r="I18" t="s">
        <v>6</v>
      </c>
      <c r="K18">
        <v>5.2584</v>
      </c>
      <c r="L18">
        <v>0.15276000000000001</v>
      </c>
      <c r="O18" t="s">
        <v>7</v>
      </c>
      <c r="P18" t="s">
        <v>11</v>
      </c>
      <c r="Q18">
        <v>3</v>
      </c>
      <c r="R18" t="s">
        <v>4</v>
      </c>
      <c r="S18" t="s">
        <v>5</v>
      </c>
      <c r="T18">
        <v>3.0003000000000002</v>
      </c>
      <c r="U18" t="s">
        <v>34</v>
      </c>
      <c r="V18">
        <f>K110</f>
        <v>5.4593999999999996</v>
      </c>
      <c r="W18">
        <f>L110</f>
        <v>0.18267</v>
      </c>
      <c r="X18">
        <f>AVERAGE(K109:K112)</f>
        <v>5.2089999999999996</v>
      </c>
    </row>
    <row r="19" spans="1:33" x14ac:dyDescent="0.35">
      <c r="A19" t="s">
        <v>4</v>
      </c>
      <c r="B19" t="s">
        <v>11</v>
      </c>
      <c r="C19">
        <v>3</v>
      </c>
      <c r="D19" t="s">
        <v>12</v>
      </c>
      <c r="F19" t="s">
        <v>7</v>
      </c>
      <c r="G19" t="s">
        <v>5</v>
      </c>
      <c r="H19">
        <v>3.0005000000000002</v>
      </c>
      <c r="I19" t="s">
        <v>9</v>
      </c>
      <c r="K19">
        <v>5.3136000000000001</v>
      </c>
      <c r="L19">
        <v>0.16470000000000001</v>
      </c>
      <c r="O19" s="2" t="s">
        <v>4</v>
      </c>
      <c r="P19" s="2" t="s">
        <v>14</v>
      </c>
      <c r="Q19" s="2">
        <v>3.03</v>
      </c>
      <c r="R19" s="2" t="s">
        <v>7</v>
      </c>
      <c r="S19" s="2" t="s">
        <v>5</v>
      </c>
      <c r="T19" s="2">
        <v>3.0005000000000002</v>
      </c>
      <c r="U19" s="3" t="s">
        <v>28</v>
      </c>
      <c r="V19" s="2">
        <f>K22</f>
        <v>5.2656999999999998</v>
      </c>
      <c r="W19" s="2">
        <f>L22</f>
        <v>0.19242000000000001</v>
      </c>
      <c r="X19" s="2">
        <f>AVERAGE(K22:K23)</f>
        <v>5.2233499999999999</v>
      </c>
    </row>
    <row r="20" spans="1:33" x14ac:dyDescent="0.35">
      <c r="A20" t="s">
        <v>4</v>
      </c>
      <c r="B20" t="s">
        <v>11</v>
      </c>
      <c r="C20">
        <v>3</v>
      </c>
      <c r="D20" t="s">
        <v>13</v>
      </c>
      <c r="F20" t="s">
        <v>7</v>
      </c>
      <c r="G20" t="s">
        <v>5</v>
      </c>
      <c r="H20">
        <v>3.0005000000000002</v>
      </c>
      <c r="I20" t="s">
        <v>9</v>
      </c>
      <c r="K20">
        <v>5.2262000000000004</v>
      </c>
      <c r="L20">
        <v>0.18454000000000001</v>
      </c>
      <c r="O20" t="s">
        <v>4</v>
      </c>
      <c r="P20" t="s">
        <v>14</v>
      </c>
      <c r="Q20">
        <v>3.03</v>
      </c>
      <c r="R20" t="s">
        <v>4</v>
      </c>
      <c r="S20" t="s">
        <v>5</v>
      </c>
      <c r="T20">
        <v>3.0003000000000002</v>
      </c>
      <c r="U20" s="1" t="s">
        <v>33</v>
      </c>
      <c r="V20">
        <f>K49</f>
        <v>5.4631999999999996</v>
      </c>
      <c r="W20">
        <f>L49</f>
        <v>0.18325</v>
      </c>
      <c r="X20">
        <f>AVERAGE(K48:K49)</f>
        <v>5.4185499999999998</v>
      </c>
    </row>
    <row r="21" spans="1:33" x14ac:dyDescent="0.35">
      <c r="O21" t="s">
        <v>4</v>
      </c>
      <c r="P21" t="s">
        <v>5</v>
      </c>
      <c r="Q21">
        <v>3.03</v>
      </c>
      <c r="R21" t="s">
        <v>7</v>
      </c>
      <c r="S21" t="s">
        <v>14</v>
      </c>
      <c r="T21">
        <v>3.0003500000000001</v>
      </c>
      <c r="U21" t="s">
        <v>30</v>
      </c>
      <c r="V21">
        <f>K57</f>
        <v>5.6821000000000002</v>
      </c>
      <c r="W21">
        <f>L57</f>
        <v>0.20949000000000001</v>
      </c>
      <c r="X21">
        <f>AVERAGE(K57:K58)</f>
        <v>5.6521500000000007</v>
      </c>
    </row>
    <row r="22" spans="1:33" x14ac:dyDescent="0.35">
      <c r="A22" t="s">
        <v>4</v>
      </c>
      <c r="B22" t="s">
        <v>14</v>
      </c>
      <c r="C22">
        <v>3.03</v>
      </c>
      <c r="F22" t="s">
        <v>7</v>
      </c>
      <c r="G22" t="s">
        <v>5</v>
      </c>
      <c r="H22">
        <v>3.0005000000000002</v>
      </c>
      <c r="I22" t="s">
        <v>6</v>
      </c>
      <c r="K22">
        <v>5.2656999999999998</v>
      </c>
      <c r="L22">
        <v>0.19242000000000001</v>
      </c>
      <c r="O22" t="s">
        <v>4</v>
      </c>
      <c r="P22" t="s">
        <v>5</v>
      </c>
      <c r="Q22">
        <v>3.03</v>
      </c>
      <c r="R22" t="s">
        <v>4</v>
      </c>
      <c r="S22" t="s">
        <v>14</v>
      </c>
      <c r="T22">
        <v>3.0003500000000001</v>
      </c>
      <c r="U22" t="s">
        <v>30</v>
      </c>
      <c r="V22">
        <f>K69</f>
        <v>6.2195</v>
      </c>
      <c r="W22">
        <f>L69</f>
        <v>0.18071999999999999</v>
      </c>
      <c r="X22">
        <f>AVERAGE(K69:K70)</f>
        <v>6.1388999999999996</v>
      </c>
    </row>
    <row r="23" spans="1:33" x14ac:dyDescent="0.35">
      <c r="A23" t="s">
        <v>4</v>
      </c>
      <c r="B23" t="s">
        <v>14</v>
      </c>
      <c r="C23">
        <v>3.03</v>
      </c>
      <c r="F23" t="s">
        <v>7</v>
      </c>
      <c r="G23" t="s">
        <v>5</v>
      </c>
      <c r="H23">
        <v>3.0005000000000002</v>
      </c>
      <c r="I23" t="s">
        <v>9</v>
      </c>
      <c r="K23">
        <v>5.181</v>
      </c>
      <c r="L23">
        <v>0.20322000000000001</v>
      </c>
      <c r="O23" s="2" t="s">
        <v>4</v>
      </c>
      <c r="P23" s="2" t="s">
        <v>5</v>
      </c>
      <c r="Q23" s="2">
        <v>3.03</v>
      </c>
      <c r="R23" s="2" t="s">
        <v>7</v>
      </c>
      <c r="S23" s="2" t="s">
        <v>5</v>
      </c>
      <c r="T23" s="2">
        <v>3.0005000000000002</v>
      </c>
      <c r="U23" s="2" t="s">
        <v>32</v>
      </c>
      <c r="V23" s="2">
        <f>K7</f>
        <v>5.2168000000000001</v>
      </c>
      <c r="W23" s="2">
        <f>L7</f>
        <v>0.18633</v>
      </c>
      <c r="X23" s="2">
        <f>AVERAGE(K7:K10)</f>
        <v>5.1718249999999992</v>
      </c>
    </row>
    <row r="24" spans="1:33" x14ac:dyDescent="0.35">
      <c r="O24" t="s">
        <v>4</v>
      </c>
      <c r="P24" t="s">
        <v>5</v>
      </c>
      <c r="Q24">
        <v>3.03</v>
      </c>
      <c r="R24" t="s">
        <v>4</v>
      </c>
      <c r="S24" t="s">
        <v>5</v>
      </c>
      <c r="T24">
        <v>3.0003000000000002</v>
      </c>
      <c r="U24" t="s">
        <v>24</v>
      </c>
      <c r="V24">
        <f>K35</f>
        <v>5.3354999999999997</v>
      </c>
      <c r="W24">
        <f>L35</f>
        <v>0.19056999999999999</v>
      </c>
      <c r="X24">
        <f>AVERAGE(K33:K36)</f>
        <v>5.2597500000000004</v>
      </c>
      <c r="AG24" s="1"/>
    </row>
    <row r="25" spans="1:33" x14ac:dyDescent="0.35">
      <c r="A25" t="s">
        <v>4</v>
      </c>
      <c r="B25" t="s">
        <v>15</v>
      </c>
      <c r="C25">
        <v>3.03</v>
      </c>
      <c r="F25" t="s">
        <v>7</v>
      </c>
      <c r="G25" t="s">
        <v>5</v>
      </c>
      <c r="H25">
        <v>3.0005000000000002</v>
      </c>
      <c r="I25" t="s">
        <v>6</v>
      </c>
      <c r="K25">
        <v>4.9284999999999997</v>
      </c>
      <c r="L25">
        <v>0.22746</v>
      </c>
      <c r="O25" t="s">
        <v>4</v>
      </c>
      <c r="P25" t="s">
        <v>5</v>
      </c>
      <c r="Q25">
        <v>3.1</v>
      </c>
      <c r="R25" t="s">
        <v>7</v>
      </c>
      <c r="S25" t="s">
        <v>14</v>
      </c>
      <c r="T25">
        <v>3.0003500000000001</v>
      </c>
      <c r="U25" t="s">
        <v>29</v>
      </c>
      <c r="V25">
        <f>K55</f>
        <v>5.78</v>
      </c>
      <c r="W25">
        <f>L55</f>
        <v>0.19348000000000001</v>
      </c>
      <c r="X25">
        <f>AVERAGE(K54:K55)</f>
        <v>5.7750000000000004</v>
      </c>
      <c r="AG25" s="1"/>
    </row>
    <row r="26" spans="1:33" x14ac:dyDescent="0.35">
      <c r="A26" t="s">
        <v>4</v>
      </c>
      <c r="B26" t="s">
        <v>15</v>
      </c>
      <c r="C26">
        <v>3.03</v>
      </c>
      <c r="F26" t="s">
        <v>7</v>
      </c>
      <c r="G26" t="s">
        <v>5</v>
      </c>
      <c r="H26">
        <v>3.0005000000000002</v>
      </c>
      <c r="I26" t="s">
        <v>9</v>
      </c>
      <c r="K26">
        <v>4.8583999999999996</v>
      </c>
      <c r="L26">
        <v>0.20527999999999999</v>
      </c>
      <c r="O26" t="s">
        <v>4</v>
      </c>
      <c r="P26" t="s">
        <v>5</v>
      </c>
      <c r="Q26">
        <v>3.1</v>
      </c>
      <c r="R26" t="s">
        <v>4</v>
      </c>
      <c r="S26" t="s">
        <v>14</v>
      </c>
      <c r="T26">
        <v>3.0003500000000001</v>
      </c>
      <c r="U26" t="s">
        <v>29</v>
      </c>
      <c r="V26">
        <f>K67</f>
        <v>6.2521000000000004</v>
      </c>
      <c r="W26">
        <f>L67</f>
        <v>0.19244</v>
      </c>
      <c r="X26">
        <f>AVERAGE(K66:K67)</f>
        <v>6.2173499999999997</v>
      </c>
    </row>
    <row r="27" spans="1:33" x14ac:dyDescent="0.35">
      <c r="O27" s="2" t="s">
        <v>4</v>
      </c>
      <c r="P27" s="2" t="s">
        <v>5</v>
      </c>
      <c r="Q27" s="2">
        <v>3.1</v>
      </c>
      <c r="R27" s="2" t="s">
        <v>7</v>
      </c>
      <c r="S27" s="2" t="s">
        <v>5</v>
      </c>
      <c r="T27" s="2">
        <v>3.0005000000000002</v>
      </c>
      <c r="U27" s="2" t="s">
        <v>32</v>
      </c>
      <c r="V27" s="2">
        <f>K2</f>
        <v>5.2927</v>
      </c>
      <c r="W27" s="2">
        <f>L2</f>
        <v>0.19541</v>
      </c>
      <c r="X27" s="2">
        <f>AVERAGE(K2:K5)</f>
        <v>5.2321499999999999</v>
      </c>
    </row>
    <row r="28" spans="1:33" x14ac:dyDescent="0.35">
      <c r="A28" t="s">
        <v>4</v>
      </c>
      <c r="B28" t="s">
        <v>5</v>
      </c>
      <c r="C28">
        <v>3.1</v>
      </c>
      <c r="D28" t="s">
        <v>6</v>
      </c>
      <c r="F28" t="s">
        <v>4</v>
      </c>
      <c r="G28" t="s">
        <v>5</v>
      </c>
      <c r="H28">
        <v>3.0003000000000002</v>
      </c>
      <c r="I28" t="s">
        <v>6</v>
      </c>
      <c r="K28">
        <v>5.4423000000000004</v>
      </c>
      <c r="L28">
        <v>0.17960999999999999</v>
      </c>
      <c r="O28" s="2" t="s">
        <v>4</v>
      </c>
      <c r="P28" s="2" t="s">
        <v>5</v>
      </c>
      <c r="Q28" s="2">
        <v>3.1</v>
      </c>
      <c r="R28" s="2" t="s">
        <v>4</v>
      </c>
      <c r="S28" s="2" t="s">
        <v>5</v>
      </c>
      <c r="T28" s="2">
        <v>3.0003000000000002</v>
      </c>
      <c r="U28" s="2" t="s">
        <v>32</v>
      </c>
      <c r="V28" s="2">
        <f>K28</f>
        <v>5.4423000000000004</v>
      </c>
      <c r="W28" s="2">
        <f>L28</f>
        <v>0.17960999999999999</v>
      </c>
      <c r="X28" s="2">
        <f>AVERAGE(K28:K31)</f>
        <v>5.3989750000000001</v>
      </c>
    </row>
    <row r="29" spans="1:33" x14ac:dyDescent="0.35">
      <c r="A29" t="s">
        <v>4</v>
      </c>
      <c r="B29" t="s">
        <v>5</v>
      </c>
      <c r="C29">
        <v>3.1</v>
      </c>
      <c r="D29" t="s">
        <v>9</v>
      </c>
      <c r="F29" t="s">
        <v>4</v>
      </c>
      <c r="G29" t="s">
        <v>5</v>
      </c>
      <c r="H29">
        <v>3.0003000000000002</v>
      </c>
      <c r="I29" t="s">
        <v>6</v>
      </c>
      <c r="K29">
        <v>5.3632999999999997</v>
      </c>
      <c r="L29">
        <v>0.19411999999999999</v>
      </c>
      <c r="O29" s="2" t="s">
        <v>4</v>
      </c>
      <c r="P29" s="2" t="s">
        <v>15</v>
      </c>
      <c r="Q29" s="2">
        <v>3.03</v>
      </c>
      <c r="R29" s="2" t="s">
        <v>7</v>
      </c>
      <c r="S29" s="2" t="s">
        <v>5</v>
      </c>
      <c r="T29" s="2">
        <v>3.0005000000000002</v>
      </c>
      <c r="U29" s="3" t="s">
        <v>28</v>
      </c>
      <c r="V29" s="2">
        <f>K25</f>
        <v>4.9284999999999997</v>
      </c>
      <c r="W29" s="2">
        <f>L25</f>
        <v>0.22746</v>
      </c>
      <c r="X29" s="2">
        <f>AVERAGE(K25:K26)</f>
        <v>4.8934499999999996</v>
      </c>
    </row>
    <row r="30" spans="1:33" x14ac:dyDescent="0.35">
      <c r="A30" t="s">
        <v>4</v>
      </c>
      <c r="B30" t="s">
        <v>5</v>
      </c>
      <c r="C30">
        <v>3.1</v>
      </c>
      <c r="D30" t="s">
        <v>6</v>
      </c>
      <c r="F30" t="s">
        <v>4</v>
      </c>
      <c r="G30" t="s">
        <v>5</v>
      </c>
      <c r="H30">
        <v>3.0003000000000002</v>
      </c>
      <c r="I30" t="s">
        <v>9</v>
      </c>
      <c r="K30">
        <v>5.3658999999999999</v>
      </c>
      <c r="L30">
        <v>0.20454</v>
      </c>
      <c r="O30" t="s">
        <v>4</v>
      </c>
      <c r="P30" t="s">
        <v>15</v>
      </c>
      <c r="Q30">
        <v>3.03</v>
      </c>
      <c r="R30" t="s">
        <v>4</v>
      </c>
      <c r="S30" t="s">
        <v>5</v>
      </c>
      <c r="T30">
        <v>3.0003000000000002</v>
      </c>
      <c r="U30" s="1" t="s">
        <v>28</v>
      </c>
      <c r="V30">
        <f>K51</f>
        <v>5.2847</v>
      </c>
      <c r="W30">
        <f>L51</f>
        <v>0.21396999999999999</v>
      </c>
      <c r="X30">
        <f>AVERAGE(K51:K52)</f>
        <v>5.1715999999999998</v>
      </c>
    </row>
    <row r="31" spans="1:33" x14ac:dyDescent="0.35">
      <c r="A31" t="s">
        <v>4</v>
      </c>
      <c r="B31" t="s">
        <v>5</v>
      </c>
      <c r="C31">
        <v>3.1</v>
      </c>
      <c r="D31" t="s">
        <v>9</v>
      </c>
      <c r="F31" t="s">
        <v>4</v>
      </c>
      <c r="G31" t="s">
        <v>5</v>
      </c>
      <c r="H31">
        <v>3.0003000000000002</v>
      </c>
      <c r="I31" t="s">
        <v>9</v>
      </c>
      <c r="K31">
        <v>5.4244000000000003</v>
      </c>
      <c r="L31">
        <v>0.18687999999999999</v>
      </c>
      <c r="O31" t="s">
        <v>4</v>
      </c>
      <c r="P31" t="s">
        <v>11</v>
      </c>
      <c r="Q31">
        <v>3</v>
      </c>
      <c r="R31" t="s">
        <v>7</v>
      </c>
      <c r="S31" t="s">
        <v>14</v>
      </c>
      <c r="T31">
        <v>3.0003500000000001</v>
      </c>
      <c r="U31" t="s">
        <v>31</v>
      </c>
      <c r="V31">
        <f>K63</f>
        <v>5.7949000000000002</v>
      </c>
      <c r="W31">
        <f>L63</f>
        <v>0.19364000000000001</v>
      </c>
      <c r="X31">
        <f>AVERAGE(K63:K64)</f>
        <v>5.7499000000000002</v>
      </c>
    </row>
    <row r="32" spans="1:33" x14ac:dyDescent="0.35">
      <c r="O32" s="6" t="s">
        <v>4</v>
      </c>
      <c r="P32" s="6" t="s">
        <v>11</v>
      </c>
      <c r="Q32" s="6">
        <v>3</v>
      </c>
      <c r="R32" s="6" t="s">
        <v>4</v>
      </c>
      <c r="S32" s="6" t="s">
        <v>14</v>
      </c>
      <c r="T32" s="6">
        <v>3.0003500000000001</v>
      </c>
      <c r="U32" s="6" t="s">
        <v>31</v>
      </c>
      <c r="V32" s="6">
        <f>K75</f>
        <v>6.2666000000000004</v>
      </c>
      <c r="W32" s="6">
        <f>L75</f>
        <v>0.18865999999999999</v>
      </c>
      <c r="X32" s="6">
        <f>AVERAGE(K75:K76)</f>
        <v>6.1995000000000005</v>
      </c>
    </row>
    <row r="33" spans="1:24" x14ac:dyDescent="0.35">
      <c r="A33" t="s">
        <v>4</v>
      </c>
      <c r="B33" t="s">
        <v>5</v>
      </c>
      <c r="C33">
        <v>3.03</v>
      </c>
      <c r="D33" t="s">
        <v>6</v>
      </c>
      <c r="F33" t="s">
        <v>4</v>
      </c>
      <c r="G33" t="s">
        <v>5</v>
      </c>
      <c r="H33">
        <v>3.0003000000000002</v>
      </c>
      <c r="I33" t="s">
        <v>6</v>
      </c>
      <c r="K33">
        <v>5.2058</v>
      </c>
      <c r="L33">
        <v>0.22202</v>
      </c>
      <c r="O33" s="2" t="s">
        <v>4</v>
      </c>
      <c r="P33" s="2" t="s">
        <v>11</v>
      </c>
      <c r="Q33" s="2">
        <v>3</v>
      </c>
      <c r="R33" s="2" t="s">
        <v>7</v>
      </c>
      <c r="S33" s="2" t="s">
        <v>5</v>
      </c>
      <c r="T33" s="2">
        <v>3.0005000000000002</v>
      </c>
      <c r="U33" s="2" t="s">
        <v>34</v>
      </c>
      <c r="V33" s="2">
        <f>K17</f>
        <v>5.3757000000000001</v>
      </c>
      <c r="W33" s="2">
        <f>L17</f>
        <v>0.17493</v>
      </c>
      <c r="X33" s="2">
        <f>AVERAGE(K17:K20)</f>
        <v>5.2934750000000008</v>
      </c>
    </row>
    <row r="34" spans="1:24" x14ac:dyDescent="0.35">
      <c r="A34" t="s">
        <v>4</v>
      </c>
      <c r="B34" t="s">
        <v>5</v>
      </c>
      <c r="C34">
        <v>3.03</v>
      </c>
      <c r="D34" t="s">
        <v>9</v>
      </c>
      <c r="F34" t="s">
        <v>4</v>
      </c>
      <c r="G34" t="s">
        <v>5</v>
      </c>
      <c r="H34">
        <v>3.0003000000000002</v>
      </c>
      <c r="I34" t="s">
        <v>6</v>
      </c>
      <c r="K34">
        <v>5.2115</v>
      </c>
      <c r="L34">
        <v>0.2082</v>
      </c>
      <c r="O34" t="s">
        <v>4</v>
      </c>
      <c r="P34" t="s">
        <v>11</v>
      </c>
      <c r="Q34">
        <v>3</v>
      </c>
      <c r="R34" t="s">
        <v>4</v>
      </c>
      <c r="S34" t="s">
        <v>5</v>
      </c>
      <c r="T34">
        <v>3.0003000000000002</v>
      </c>
      <c r="U34" t="s">
        <v>27</v>
      </c>
      <c r="V34">
        <f>K46</f>
        <v>5.4401999999999999</v>
      </c>
      <c r="W34">
        <f>L46</f>
        <v>0.18260000000000001</v>
      </c>
      <c r="X34">
        <f>AVERAGE(K43:K46)</f>
        <v>5.4013750000000007</v>
      </c>
    </row>
    <row r="35" spans="1:24" x14ac:dyDescent="0.35">
      <c r="A35" t="s">
        <v>4</v>
      </c>
      <c r="B35" t="s">
        <v>5</v>
      </c>
      <c r="C35">
        <v>3.03</v>
      </c>
      <c r="D35" t="s">
        <v>6</v>
      </c>
      <c r="F35" t="s">
        <v>4</v>
      </c>
      <c r="G35" t="s">
        <v>5</v>
      </c>
      <c r="H35">
        <v>3.0003000000000002</v>
      </c>
      <c r="I35" t="s">
        <v>9</v>
      </c>
      <c r="K35">
        <v>5.3354999999999997</v>
      </c>
      <c r="L35">
        <v>0.19056999999999999</v>
      </c>
      <c r="O35" s="2" t="s">
        <v>4</v>
      </c>
      <c r="P35" s="2" t="s">
        <v>10</v>
      </c>
      <c r="Q35" s="2">
        <v>3.03</v>
      </c>
      <c r="R35" s="2" t="s">
        <v>7</v>
      </c>
      <c r="S35" s="2" t="s">
        <v>14</v>
      </c>
      <c r="T35" s="2">
        <v>3.0003500000000001</v>
      </c>
      <c r="U35" s="2" t="s">
        <v>30</v>
      </c>
      <c r="V35" s="2">
        <f>K60</f>
        <v>5.4863</v>
      </c>
      <c r="W35" s="2">
        <f>L60</f>
        <v>0.19248999999999999</v>
      </c>
      <c r="X35" s="2">
        <f>AVERAGE(K60:K61)</f>
        <v>5.4656500000000001</v>
      </c>
    </row>
    <row r="36" spans="1:24" x14ac:dyDescent="0.35">
      <c r="A36" t="s">
        <v>4</v>
      </c>
      <c r="B36" t="s">
        <v>5</v>
      </c>
      <c r="C36">
        <v>3.03</v>
      </c>
      <c r="D36" t="s">
        <v>9</v>
      </c>
      <c r="F36" t="s">
        <v>4</v>
      </c>
      <c r="G36" t="s">
        <v>5</v>
      </c>
      <c r="H36">
        <v>3.0003000000000002</v>
      </c>
      <c r="I36" t="s">
        <v>9</v>
      </c>
      <c r="K36">
        <v>5.2862</v>
      </c>
      <c r="L36">
        <v>0.19738</v>
      </c>
      <c r="O36" t="s">
        <v>4</v>
      </c>
      <c r="P36" t="s">
        <v>10</v>
      </c>
      <c r="Q36">
        <v>3.03</v>
      </c>
      <c r="R36" t="s">
        <v>4</v>
      </c>
      <c r="S36" t="s">
        <v>14</v>
      </c>
      <c r="T36">
        <v>3.0003500000000001</v>
      </c>
      <c r="U36" t="s">
        <v>29</v>
      </c>
      <c r="V36">
        <f>K73</f>
        <v>5.8895999999999997</v>
      </c>
      <c r="W36">
        <f>L73</f>
        <v>0.21310999999999999</v>
      </c>
      <c r="X36">
        <f>AVERAGE(K72:K73)</f>
        <v>5.8403499999999999</v>
      </c>
    </row>
    <row r="37" spans="1:24" x14ac:dyDescent="0.35">
      <c r="O37" s="2" t="s">
        <v>4</v>
      </c>
      <c r="P37" s="2" t="s">
        <v>10</v>
      </c>
      <c r="Q37" s="2">
        <v>3.03</v>
      </c>
      <c r="R37" s="2" t="s">
        <v>7</v>
      </c>
      <c r="S37" s="2" t="s">
        <v>5</v>
      </c>
      <c r="T37" s="2">
        <v>3.0005000000000002</v>
      </c>
      <c r="U37" s="2" t="s">
        <v>25</v>
      </c>
      <c r="V37" s="2">
        <f>K15</f>
        <v>4.9225000000000003</v>
      </c>
      <c r="W37" s="2">
        <f>L15</f>
        <v>0.22542000000000001</v>
      </c>
      <c r="X37" s="2">
        <f>AVERAGE(K12:K15)</f>
        <v>4.8536000000000001</v>
      </c>
    </row>
    <row r="38" spans="1:24" x14ac:dyDescent="0.35">
      <c r="A38" t="s">
        <v>4</v>
      </c>
      <c r="B38" t="s">
        <v>10</v>
      </c>
      <c r="C38">
        <v>3.03</v>
      </c>
      <c r="D38" t="s">
        <v>6</v>
      </c>
      <c r="F38" t="s">
        <v>4</v>
      </c>
      <c r="G38" t="s">
        <v>5</v>
      </c>
      <c r="H38">
        <v>3.0003000000000002</v>
      </c>
      <c r="I38" t="s">
        <v>6</v>
      </c>
      <c r="K38">
        <v>5.0865</v>
      </c>
      <c r="L38">
        <v>0.22363</v>
      </c>
      <c r="O38" s="8" t="s">
        <v>4</v>
      </c>
      <c r="P38" s="8" t="s">
        <v>10</v>
      </c>
      <c r="Q38" s="8">
        <v>3.03</v>
      </c>
      <c r="R38" s="8" t="s">
        <v>4</v>
      </c>
      <c r="S38" s="8" t="s">
        <v>5</v>
      </c>
      <c r="T38" s="8">
        <v>3.0003000000000002</v>
      </c>
      <c r="U38" s="8" t="s">
        <v>32</v>
      </c>
      <c r="V38" s="8">
        <f>K38</f>
        <v>5.0865</v>
      </c>
      <c r="W38" s="8">
        <f>L38</f>
        <v>0.22363</v>
      </c>
      <c r="X38" s="8">
        <f>AVERAGE(K38:K41)</f>
        <v>4.9969250000000001</v>
      </c>
    </row>
    <row r="39" spans="1:24" x14ac:dyDescent="0.35">
      <c r="A39" t="s">
        <v>4</v>
      </c>
      <c r="B39" t="s">
        <v>10</v>
      </c>
      <c r="C39">
        <v>3.03</v>
      </c>
      <c r="D39" t="s">
        <v>9</v>
      </c>
      <c r="F39" t="s">
        <v>4</v>
      </c>
      <c r="G39" t="s">
        <v>5</v>
      </c>
      <c r="H39">
        <v>3.0003000000000002</v>
      </c>
      <c r="I39" t="s">
        <v>6</v>
      </c>
      <c r="K39">
        <v>4.8673000000000002</v>
      </c>
      <c r="L39">
        <v>0.2326</v>
      </c>
    </row>
    <row r="40" spans="1:24" x14ac:dyDescent="0.35">
      <c r="A40" t="s">
        <v>4</v>
      </c>
      <c r="B40" t="s">
        <v>10</v>
      </c>
      <c r="C40">
        <v>3.03</v>
      </c>
      <c r="D40" t="s">
        <v>6</v>
      </c>
      <c r="F40" t="s">
        <v>4</v>
      </c>
      <c r="G40" t="s">
        <v>5</v>
      </c>
      <c r="H40">
        <v>3.0003000000000002</v>
      </c>
      <c r="I40" t="s">
        <v>9</v>
      </c>
      <c r="K40">
        <v>4.9641999999999999</v>
      </c>
      <c r="L40">
        <v>0.21754999999999999</v>
      </c>
    </row>
    <row r="41" spans="1:24" x14ac:dyDescent="0.35">
      <c r="A41" t="s">
        <v>4</v>
      </c>
      <c r="B41" t="s">
        <v>10</v>
      </c>
      <c r="C41">
        <v>3.03</v>
      </c>
      <c r="D41" t="s">
        <v>9</v>
      </c>
      <c r="F41" t="s">
        <v>4</v>
      </c>
      <c r="G41" t="s">
        <v>5</v>
      </c>
      <c r="H41">
        <v>3.0003000000000002</v>
      </c>
      <c r="I41" t="s">
        <v>9</v>
      </c>
      <c r="K41">
        <v>5.0697000000000001</v>
      </c>
      <c r="L41">
        <v>0.21654999999999999</v>
      </c>
    </row>
    <row r="43" spans="1:24" x14ac:dyDescent="0.35">
      <c r="A43" t="s">
        <v>4</v>
      </c>
      <c r="B43" t="s">
        <v>11</v>
      </c>
      <c r="C43">
        <v>3</v>
      </c>
      <c r="D43" t="s">
        <v>12</v>
      </c>
      <c r="F43" t="s">
        <v>4</v>
      </c>
      <c r="G43" t="s">
        <v>5</v>
      </c>
      <c r="H43">
        <v>3.0003000000000002</v>
      </c>
      <c r="I43" t="s">
        <v>6</v>
      </c>
      <c r="K43">
        <v>5.3840000000000003</v>
      </c>
      <c r="L43">
        <v>0.17815</v>
      </c>
    </row>
    <row r="44" spans="1:24" x14ac:dyDescent="0.35">
      <c r="A44" t="s">
        <v>4</v>
      </c>
      <c r="B44" t="s">
        <v>11</v>
      </c>
      <c r="C44">
        <v>3</v>
      </c>
      <c r="D44" t="s">
        <v>13</v>
      </c>
      <c r="F44" t="s">
        <v>4</v>
      </c>
      <c r="G44" t="s">
        <v>5</v>
      </c>
      <c r="H44">
        <v>3.0003000000000002</v>
      </c>
      <c r="I44" t="s">
        <v>6</v>
      </c>
      <c r="K44">
        <v>5.4035000000000002</v>
      </c>
      <c r="L44">
        <v>0.19528999999999999</v>
      </c>
    </row>
    <row r="45" spans="1:24" x14ac:dyDescent="0.35">
      <c r="A45" t="s">
        <v>4</v>
      </c>
      <c r="B45" t="s">
        <v>11</v>
      </c>
      <c r="C45">
        <v>3</v>
      </c>
      <c r="D45" t="s">
        <v>12</v>
      </c>
      <c r="F45" t="s">
        <v>4</v>
      </c>
      <c r="G45" t="s">
        <v>5</v>
      </c>
      <c r="H45">
        <v>3.0003000000000002</v>
      </c>
      <c r="I45" t="s">
        <v>9</v>
      </c>
      <c r="K45">
        <v>5.3777999999999997</v>
      </c>
      <c r="L45">
        <v>0.18634999999999999</v>
      </c>
    </row>
    <row r="46" spans="1:24" x14ac:dyDescent="0.35">
      <c r="A46" t="s">
        <v>4</v>
      </c>
      <c r="B46" t="s">
        <v>11</v>
      </c>
      <c r="C46">
        <v>3</v>
      </c>
      <c r="D46" t="s">
        <v>13</v>
      </c>
      <c r="F46" t="s">
        <v>4</v>
      </c>
      <c r="G46" t="s">
        <v>5</v>
      </c>
      <c r="H46">
        <v>3.0003000000000002</v>
      </c>
      <c r="I46" t="s">
        <v>9</v>
      </c>
      <c r="K46">
        <v>5.4401999999999999</v>
      </c>
      <c r="L46">
        <v>0.18260000000000001</v>
      </c>
    </row>
    <row r="48" spans="1:24" x14ac:dyDescent="0.35">
      <c r="A48" t="s">
        <v>4</v>
      </c>
      <c r="B48" t="s">
        <v>14</v>
      </c>
      <c r="C48">
        <v>3.03</v>
      </c>
      <c r="F48" t="s">
        <v>4</v>
      </c>
      <c r="G48" t="s">
        <v>5</v>
      </c>
      <c r="H48">
        <v>3.0003000000000002</v>
      </c>
      <c r="I48" t="s">
        <v>6</v>
      </c>
      <c r="K48">
        <v>5.3738999999999999</v>
      </c>
      <c r="L48">
        <v>0.20660000000000001</v>
      </c>
    </row>
    <row r="49" spans="1:12" x14ac:dyDescent="0.35">
      <c r="A49" t="s">
        <v>4</v>
      </c>
      <c r="B49" t="s">
        <v>14</v>
      </c>
      <c r="C49">
        <v>3.03</v>
      </c>
      <c r="F49" t="s">
        <v>4</v>
      </c>
      <c r="G49" t="s">
        <v>5</v>
      </c>
      <c r="H49">
        <v>3.0003000000000002</v>
      </c>
      <c r="I49" t="s">
        <v>9</v>
      </c>
      <c r="K49">
        <v>5.4631999999999996</v>
      </c>
      <c r="L49">
        <v>0.18325</v>
      </c>
    </row>
    <row r="51" spans="1:12" x14ac:dyDescent="0.35">
      <c r="A51" t="s">
        <v>4</v>
      </c>
      <c r="B51" t="s">
        <v>15</v>
      </c>
      <c r="C51">
        <v>3.03</v>
      </c>
      <c r="F51" t="s">
        <v>4</v>
      </c>
      <c r="G51" t="s">
        <v>5</v>
      </c>
      <c r="H51">
        <v>3.0003000000000002</v>
      </c>
      <c r="I51" t="s">
        <v>6</v>
      </c>
      <c r="K51">
        <v>5.2847</v>
      </c>
      <c r="L51">
        <v>0.21396999999999999</v>
      </c>
    </row>
    <row r="52" spans="1:12" x14ac:dyDescent="0.35">
      <c r="A52" t="s">
        <v>4</v>
      </c>
      <c r="B52" t="s">
        <v>15</v>
      </c>
      <c r="C52">
        <v>3.03</v>
      </c>
      <c r="F52" t="s">
        <v>4</v>
      </c>
      <c r="G52" t="s">
        <v>5</v>
      </c>
      <c r="H52">
        <v>3.0003000000000002</v>
      </c>
      <c r="I52" t="s">
        <v>9</v>
      </c>
      <c r="K52">
        <v>5.0585000000000004</v>
      </c>
      <c r="L52">
        <v>0.23039999999999999</v>
      </c>
    </row>
    <row r="54" spans="1:12" x14ac:dyDescent="0.35">
      <c r="A54" t="s">
        <v>4</v>
      </c>
      <c r="B54" t="s">
        <v>5</v>
      </c>
      <c r="C54">
        <v>3.1</v>
      </c>
      <c r="D54" t="s">
        <v>6</v>
      </c>
      <c r="F54" t="s">
        <v>7</v>
      </c>
      <c r="G54" t="s">
        <v>14</v>
      </c>
      <c r="H54">
        <v>3.0003500000000001</v>
      </c>
      <c r="K54">
        <v>5.77</v>
      </c>
      <c r="L54">
        <v>0.18432999999999999</v>
      </c>
    </row>
    <row r="55" spans="1:12" x14ac:dyDescent="0.35">
      <c r="A55" t="s">
        <v>4</v>
      </c>
      <c r="B55" t="s">
        <v>5</v>
      </c>
      <c r="C55">
        <v>3.1</v>
      </c>
      <c r="D55" t="s">
        <v>9</v>
      </c>
      <c r="F55" t="s">
        <v>7</v>
      </c>
      <c r="G55" t="s">
        <v>14</v>
      </c>
      <c r="H55">
        <v>3.0003500000000001</v>
      </c>
      <c r="K55">
        <v>5.78</v>
      </c>
      <c r="L55">
        <v>0.19348000000000001</v>
      </c>
    </row>
    <row r="57" spans="1:12" x14ac:dyDescent="0.35">
      <c r="A57" t="s">
        <v>4</v>
      </c>
      <c r="B57" t="s">
        <v>5</v>
      </c>
      <c r="C57">
        <v>3.03</v>
      </c>
      <c r="D57" t="s">
        <v>6</v>
      </c>
      <c r="F57" t="s">
        <v>7</v>
      </c>
      <c r="G57" t="s">
        <v>14</v>
      </c>
      <c r="H57">
        <v>3.0003500000000001</v>
      </c>
      <c r="K57">
        <v>5.6821000000000002</v>
      </c>
      <c r="L57">
        <v>0.20949000000000001</v>
      </c>
    </row>
    <row r="58" spans="1:12" x14ac:dyDescent="0.35">
      <c r="A58" t="s">
        <v>4</v>
      </c>
      <c r="B58" t="s">
        <v>5</v>
      </c>
      <c r="C58">
        <v>3.03</v>
      </c>
      <c r="D58" t="s">
        <v>9</v>
      </c>
      <c r="F58" t="s">
        <v>7</v>
      </c>
      <c r="G58" t="s">
        <v>14</v>
      </c>
      <c r="H58">
        <v>3.0003500000000001</v>
      </c>
      <c r="K58">
        <v>5.6222000000000003</v>
      </c>
      <c r="L58">
        <v>0.19067999999999999</v>
      </c>
    </row>
    <row r="60" spans="1:12" x14ac:dyDescent="0.35">
      <c r="A60" t="s">
        <v>4</v>
      </c>
      <c r="B60" t="s">
        <v>10</v>
      </c>
      <c r="C60">
        <v>3.03</v>
      </c>
      <c r="D60" t="s">
        <v>6</v>
      </c>
      <c r="F60" t="s">
        <v>7</v>
      </c>
      <c r="G60" t="s">
        <v>14</v>
      </c>
      <c r="H60">
        <v>3.0003500000000001</v>
      </c>
      <c r="K60">
        <v>5.4863</v>
      </c>
      <c r="L60">
        <v>0.19248999999999999</v>
      </c>
    </row>
    <row r="61" spans="1:12" x14ac:dyDescent="0.35">
      <c r="A61" t="s">
        <v>4</v>
      </c>
      <c r="B61" t="s">
        <v>10</v>
      </c>
      <c r="C61">
        <v>3.03</v>
      </c>
      <c r="D61" t="s">
        <v>9</v>
      </c>
      <c r="F61" t="s">
        <v>7</v>
      </c>
      <c r="G61" t="s">
        <v>14</v>
      </c>
      <c r="H61">
        <v>3.0003500000000001</v>
      </c>
      <c r="K61">
        <v>5.4450000000000003</v>
      </c>
      <c r="L61">
        <v>0.21637000000000001</v>
      </c>
    </row>
    <row r="63" spans="1:12" x14ac:dyDescent="0.35">
      <c r="A63" t="s">
        <v>4</v>
      </c>
      <c r="B63" t="s">
        <v>11</v>
      </c>
      <c r="C63">
        <v>3</v>
      </c>
      <c r="D63" t="s">
        <v>12</v>
      </c>
      <c r="F63" t="s">
        <v>7</v>
      </c>
      <c r="G63" t="s">
        <v>14</v>
      </c>
      <c r="H63">
        <v>3.0003500000000001</v>
      </c>
      <c r="K63">
        <v>5.7949000000000002</v>
      </c>
      <c r="L63">
        <v>0.19364000000000001</v>
      </c>
    </row>
    <row r="64" spans="1:12" x14ac:dyDescent="0.35">
      <c r="A64" t="s">
        <v>4</v>
      </c>
      <c r="B64" t="s">
        <v>11</v>
      </c>
      <c r="C64">
        <v>3</v>
      </c>
      <c r="D64" t="s">
        <v>13</v>
      </c>
      <c r="F64" t="s">
        <v>7</v>
      </c>
      <c r="G64" t="s">
        <v>14</v>
      </c>
      <c r="H64">
        <v>3.0003500000000001</v>
      </c>
      <c r="K64">
        <v>5.7049000000000003</v>
      </c>
      <c r="L64">
        <v>0.20089000000000001</v>
      </c>
    </row>
    <row r="66" spans="1:12" x14ac:dyDescent="0.35">
      <c r="A66" t="s">
        <v>4</v>
      </c>
      <c r="B66" t="s">
        <v>5</v>
      </c>
      <c r="C66">
        <v>3.1</v>
      </c>
      <c r="D66" t="s">
        <v>6</v>
      </c>
      <c r="F66" t="s">
        <v>4</v>
      </c>
      <c r="G66" t="s">
        <v>14</v>
      </c>
      <c r="H66">
        <v>3.0003500000000001</v>
      </c>
      <c r="K66">
        <v>6.1825999999999999</v>
      </c>
      <c r="L66">
        <v>0.20369999999999999</v>
      </c>
    </row>
    <row r="67" spans="1:12" x14ac:dyDescent="0.35">
      <c r="A67" t="s">
        <v>4</v>
      </c>
      <c r="B67" t="s">
        <v>5</v>
      </c>
      <c r="C67">
        <v>3.1</v>
      </c>
      <c r="D67" t="s">
        <v>9</v>
      </c>
      <c r="F67" t="s">
        <v>4</v>
      </c>
      <c r="G67" t="s">
        <v>14</v>
      </c>
      <c r="H67">
        <v>3.0003500000000001</v>
      </c>
      <c r="K67">
        <v>6.2521000000000004</v>
      </c>
      <c r="L67">
        <v>0.19244</v>
      </c>
    </row>
    <row r="69" spans="1:12" x14ac:dyDescent="0.35">
      <c r="A69" t="s">
        <v>4</v>
      </c>
      <c r="B69" t="s">
        <v>5</v>
      </c>
      <c r="C69">
        <v>3.03</v>
      </c>
      <c r="D69" t="s">
        <v>6</v>
      </c>
      <c r="F69" t="s">
        <v>4</v>
      </c>
      <c r="G69" t="s">
        <v>14</v>
      </c>
      <c r="H69">
        <v>3.0003500000000001</v>
      </c>
      <c r="K69">
        <v>6.2195</v>
      </c>
      <c r="L69">
        <v>0.18071999999999999</v>
      </c>
    </row>
    <row r="70" spans="1:12" x14ac:dyDescent="0.35">
      <c r="A70" t="s">
        <v>4</v>
      </c>
      <c r="B70" t="s">
        <v>5</v>
      </c>
      <c r="C70">
        <v>3.03</v>
      </c>
      <c r="D70" t="s">
        <v>9</v>
      </c>
      <c r="F70" t="s">
        <v>4</v>
      </c>
      <c r="G70" t="s">
        <v>14</v>
      </c>
      <c r="H70">
        <v>3.0003500000000001</v>
      </c>
      <c r="K70">
        <v>6.0583</v>
      </c>
      <c r="L70">
        <v>0.1948</v>
      </c>
    </row>
    <row r="72" spans="1:12" x14ac:dyDescent="0.35">
      <c r="A72" t="s">
        <v>4</v>
      </c>
      <c r="B72" t="s">
        <v>10</v>
      </c>
      <c r="C72">
        <v>3.03</v>
      </c>
      <c r="D72" t="s">
        <v>6</v>
      </c>
      <c r="F72" t="s">
        <v>4</v>
      </c>
      <c r="G72" t="s">
        <v>14</v>
      </c>
      <c r="H72">
        <v>3.0003500000000001</v>
      </c>
      <c r="K72">
        <v>5.7911000000000001</v>
      </c>
      <c r="L72">
        <v>0.22400999999999999</v>
      </c>
    </row>
    <row r="73" spans="1:12" x14ac:dyDescent="0.35">
      <c r="A73" t="s">
        <v>4</v>
      </c>
      <c r="B73" t="s">
        <v>10</v>
      </c>
      <c r="C73">
        <v>3.03</v>
      </c>
      <c r="D73" t="s">
        <v>9</v>
      </c>
      <c r="F73" t="s">
        <v>4</v>
      </c>
      <c r="G73" t="s">
        <v>14</v>
      </c>
      <c r="H73">
        <v>3.0003500000000001</v>
      </c>
      <c r="K73">
        <v>5.8895999999999997</v>
      </c>
      <c r="L73">
        <v>0.21310999999999999</v>
      </c>
    </row>
    <row r="75" spans="1:12" x14ac:dyDescent="0.35">
      <c r="A75" t="s">
        <v>4</v>
      </c>
      <c r="B75" t="s">
        <v>11</v>
      </c>
      <c r="C75">
        <v>3</v>
      </c>
      <c r="D75" t="s">
        <v>12</v>
      </c>
      <c r="F75" t="s">
        <v>4</v>
      </c>
      <c r="G75" t="s">
        <v>14</v>
      </c>
      <c r="H75">
        <v>3.0003500000000001</v>
      </c>
      <c r="K75">
        <v>6.2666000000000004</v>
      </c>
      <c r="L75">
        <v>0.18865999999999999</v>
      </c>
    </row>
    <row r="76" spans="1:12" x14ac:dyDescent="0.35">
      <c r="A76" t="s">
        <v>4</v>
      </c>
      <c r="B76" t="s">
        <v>11</v>
      </c>
      <c r="C76">
        <v>3</v>
      </c>
      <c r="D76" t="s">
        <v>13</v>
      </c>
      <c r="F76" t="s">
        <v>4</v>
      </c>
      <c r="G76" t="s">
        <v>14</v>
      </c>
      <c r="H76">
        <v>3.0003500000000001</v>
      </c>
      <c r="K76">
        <v>6.1323999999999996</v>
      </c>
      <c r="L76">
        <v>0.18912000000000001</v>
      </c>
    </row>
    <row r="78" spans="1:12" x14ac:dyDescent="0.35">
      <c r="A78" t="s">
        <v>7</v>
      </c>
      <c r="B78" t="s">
        <v>5</v>
      </c>
      <c r="C78">
        <v>3.1</v>
      </c>
      <c r="D78" t="s">
        <v>6</v>
      </c>
      <c r="F78" t="s">
        <v>7</v>
      </c>
      <c r="G78" t="s">
        <v>5</v>
      </c>
      <c r="H78">
        <v>3.0005000000000002</v>
      </c>
      <c r="I78" t="s">
        <v>6</v>
      </c>
      <c r="K78">
        <v>5.1215999999999999</v>
      </c>
      <c r="L78">
        <v>0.19166</v>
      </c>
    </row>
    <row r="79" spans="1:12" x14ac:dyDescent="0.35">
      <c r="A79" t="s">
        <v>7</v>
      </c>
      <c r="B79" t="s">
        <v>5</v>
      </c>
      <c r="C79">
        <v>3.1</v>
      </c>
      <c r="D79" t="s">
        <v>9</v>
      </c>
      <c r="F79" t="s">
        <v>7</v>
      </c>
      <c r="G79" t="s">
        <v>5</v>
      </c>
      <c r="H79">
        <v>3.0005000000000002</v>
      </c>
      <c r="I79" t="s">
        <v>6</v>
      </c>
      <c r="K79">
        <v>5.0210999999999997</v>
      </c>
      <c r="L79">
        <v>0.19692999999999999</v>
      </c>
    </row>
    <row r="80" spans="1:12" x14ac:dyDescent="0.35">
      <c r="A80" t="s">
        <v>7</v>
      </c>
      <c r="B80" t="s">
        <v>5</v>
      </c>
      <c r="C80">
        <v>3.1</v>
      </c>
      <c r="D80" t="s">
        <v>6</v>
      </c>
      <c r="F80" t="s">
        <v>7</v>
      </c>
      <c r="G80" t="s">
        <v>5</v>
      </c>
      <c r="H80">
        <v>3.0005000000000002</v>
      </c>
      <c r="I80" t="s">
        <v>9</v>
      </c>
      <c r="K80">
        <v>4.9493999999999998</v>
      </c>
      <c r="L80">
        <v>0.21251999999999999</v>
      </c>
    </row>
    <row r="81" spans="1:12" x14ac:dyDescent="0.35">
      <c r="A81" t="s">
        <v>7</v>
      </c>
      <c r="B81" t="s">
        <v>5</v>
      </c>
      <c r="C81">
        <v>3.1</v>
      </c>
      <c r="D81" t="s">
        <v>9</v>
      </c>
      <c r="F81" t="s">
        <v>7</v>
      </c>
      <c r="G81" t="s">
        <v>5</v>
      </c>
      <c r="H81">
        <v>3.0005000000000002</v>
      </c>
      <c r="I81" t="s">
        <v>9</v>
      </c>
      <c r="K81">
        <v>4.8773</v>
      </c>
      <c r="L81">
        <v>0.21293000000000001</v>
      </c>
    </row>
    <row r="83" spans="1:12" x14ac:dyDescent="0.35">
      <c r="A83" t="s">
        <v>7</v>
      </c>
      <c r="B83" t="s">
        <v>5</v>
      </c>
      <c r="C83">
        <v>3.03</v>
      </c>
      <c r="D83" t="s">
        <v>6</v>
      </c>
      <c r="F83" t="s">
        <v>7</v>
      </c>
      <c r="G83" t="s">
        <v>5</v>
      </c>
      <c r="H83">
        <v>3.0005000000000002</v>
      </c>
      <c r="I83" t="s">
        <v>6</v>
      </c>
      <c r="K83">
        <v>5.0072000000000001</v>
      </c>
      <c r="L83">
        <v>0.20763999999999999</v>
      </c>
    </row>
    <row r="84" spans="1:12" x14ac:dyDescent="0.35">
      <c r="A84" t="s">
        <v>7</v>
      </c>
      <c r="B84" t="s">
        <v>5</v>
      </c>
      <c r="C84">
        <v>3.03</v>
      </c>
      <c r="D84" t="s">
        <v>9</v>
      </c>
      <c r="F84" t="s">
        <v>7</v>
      </c>
      <c r="G84" t="s">
        <v>5</v>
      </c>
      <c r="H84">
        <v>3.0005000000000002</v>
      </c>
      <c r="I84" t="s">
        <v>6</v>
      </c>
      <c r="K84">
        <v>4.9282000000000004</v>
      </c>
      <c r="L84">
        <v>0.20157</v>
      </c>
    </row>
    <row r="85" spans="1:12" x14ac:dyDescent="0.35">
      <c r="A85" t="s">
        <v>7</v>
      </c>
      <c r="B85" t="s">
        <v>5</v>
      </c>
      <c r="C85">
        <v>3.03</v>
      </c>
      <c r="D85" t="s">
        <v>6</v>
      </c>
      <c r="F85" t="s">
        <v>7</v>
      </c>
      <c r="G85" t="s">
        <v>5</v>
      </c>
      <c r="H85">
        <v>3.0005000000000002</v>
      </c>
      <c r="I85" t="s">
        <v>9</v>
      </c>
      <c r="K85">
        <v>5.0343999999999998</v>
      </c>
      <c r="L85">
        <v>0.20963000000000001</v>
      </c>
    </row>
    <row r="86" spans="1:12" x14ac:dyDescent="0.35">
      <c r="A86" t="s">
        <v>7</v>
      </c>
      <c r="B86" t="s">
        <v>5</v>
      </c>
      <c r="C86">
        <v>3.03</v>
      </c>
      <c r="D86" t="s">
        <v>9</v>
      </c>
      <c r="F86" t="s">
        <v>7</v>
      </c>
      <c r="G86" t="s">
        <v>5</v>
      </c>
      <c r="H86">
        <v>3.0005000000000002</v>
      </c>
      <c r="I86" t="s">
        <v>9</v>
      </c>
      <c r="K86">
        <v>4.8232999999999997</v>
      </c>
      <c r="L86">
        <v>0.19955999999999999</v>
      </c>
    </row>
    <row r="88" spans="1:12" x14ac:dyDescent="0.35">
      <c r="A88" t="s">
        <v>7</v>
      </c>
      <c r="B88" t="s">
        <v>11</v>
      </c>
      <c r="C88">
        <v>3</v>
      </c>
      <c r="D88" t="s">
        <v>13</v>
      </c>
      <c r="F88" t="s">
        <v>7</v>
      </c>
      <c r="G88" t="s">
        <v>5</v>
      </c>
      <c r="H88">
        <v>3.0005000000000002</v>
      </c>
      <c r="I88" t="s">
        <v>6</v>
      </c>
      <c r="K88">
        <v>4.9612999999999996</v>
      </c>
      <c r="L88">
        <v>0.21199000000000001</v>
      </c>
    </row>
    <row r="89" spans="1:12" x14ac:dyDescent="0.35">
      <c r="A89" t="s">
        <v>7</v>
      </c>
      <c r="B89" t="s">
        <v>11</v>
      </c>
      <c r="C89">
        <v>3</v>
      </c>
      <c r="D89" t="s">
        <v>12</v>
      </c>
      <c r="F89" t="s">
        <v>7</v>
      </c>
      <c r="G89" t="s">
        <v>5</v>
      </c>
      <c r="H89">
        <v>3.0005000000000002</v>
      </c>
      <c r="I89" t="s">
        <v>6</v>
      </c>
      <c r="K89">
        <v>5.2172000000000001</v>
      </c>
      <c r="L89">
        <v>0.15412000000000001</v>
      </c>
    </row>
    <row r="90" spans="1:12" x14ac:dyDescent="0.35">
      <c r="A90" t="s">
        <v>7</v>
      </c>
      <c r="B90" t="s">
        <v>11</v>
      </c>
      <c r="C90">
        <v>3</v>
      </c>
      <c r="D90" t="s">
        <v>13</v>
      </c>
      <c r="F90" t="s">
        <v>7</v>
      </c>
      <c r="G90" t="s">
        <v>5</v>
      </c>
      <c r="H90">
        <v>3.0005000000000002</v>
      </c>
      <c r="I90" t="s">
        <v>9</v>
      </c>
      <c r="K90">
        <v>4.7740999999999998</v>
      </c>
      <c r="L90">
        <v>0.20823</v>
      </c>
    </row>
    <row r="91" spans="1:12" x14ac:dyDescent="0.35">
      <c r="A91" t="s">
        <v>7</v>
      </c>
      <c r="B91" t="s">
        <v>11</v>
      </c>
      <c r="C91">
        <v>3</v>
      </c>
      <c r="D91" t="s">
        <v>12</v>
      </c>
      <c r="F91" t="s">
        <v>7</v>
      </c>
      <c r="G91" t="s">
        <v>5</v>
      </c>
      <c r="H91">
        <v>3.0005000000000002</v>
      </c>
      <c r="I91" t="s">
        <v>9</v>
      </c>
      <c r="K91">
        <v>4.9273999999999996</v>
      </c>
      <c r="L91">
        <v>0.21223</v>
      </c>
    </row>
    <row r="93" spans="1:12" x14ac:dyDescent="0.35">
      <c r="A93" t="s">
        <v>7</v>
      </c>
      <c r="B93" t="s">
        <v>14</v>
      </c>
      <c r="C93">
        <v>3.03</v>
      </c>
      <c r="F93" t="s">
        <v>7</v>
      </c>
      <c r="G93" t="s">
        <v>5</v>
      </c>
      <c r="H93">
        <v>3.0005000000000002</v>
      </c>
      <c r="I93" t="s">
        <v>6</v>
      </c>
      <c r="K93">
        <v>4.8764000000000003</v>
      </c>
      <c r="L93">
        <v>0.23016</v>
      </c>
    </row>
    <row r="94" spans="1:12" x14ac:dyDescent="0.35">
      <c r="A94" t="s">
        <v>7</v>
      </c>
      <c r="B94" t="s">
        <v>14</v>
      </c>
      <c r="C94">
        <v>3.03</v>
      </c>
      <c r="F94" t="s">
        <v>7</v>
      </c>
      <c r="G94" t="s">
        <v>5</v>
      </c>
      <c r="H94">
        <v>3.0005000000000002</v>
      </c>
      <c r="I94" t="s">
        <v>9</v>
      </c>
      <c r="K94">
        <v>5.0804</v>
      </c>
      <c r="L94">
        <v>0.19542000000000001</v>
      </c>
    </row>
    <row r="96" spans="1:12" x14ac:dyDescent="0.35">
      <c r="A96" t="s">
        <v>7</v>
      </c>
      <c r="B96" t="s">
        <v>15</v>
      </c>
      <c r="C96">
        <v>3.03</v>
      </c>
      <c r="F96" t="s">
        <v>7</v>
      </c>
      <c r="G96" t="s">
        <v>5</v>
      </c>
      <c r="H96">
        <v>3.0005000000000002</v>
      </c>
      <c r="I96" t="s">
        <v>6</v>
      </c>
      <c r="K96">
        <v>5.1318000000000001</v>
      </c>
      <c r="L96">
        <v>0.1673</v>
      </c>
    </row>
    <row r="97" spans="1:12" x14ac:dyDescent="0.35">
      <c r="A97" t="s">
        <v>7</v>
      </c>
      <c r="B97" t="s">
        <v>15</v>
      </c>
      <c r="C97">
        <v>3.03</v>
      </c>
      <c r="F97" t="s">
        <v>7</v>
      </c>
      <c r="G97" t="s">
        <v>5</v>
      </c>
      <c r="H97">
        <v>3.0005000000000002</v>
      </c>
      <c r="I97" t="s">
        <v>9</v>
      </c>
      <c r="K97">
        <v>4.7896000000000001</v>
      </c>
      <c r="L97">
        <v>0.22611000000000001</v>
      </c>
    </row>
    <row r="99" spans="1:12" x14ac:dyDescent="0.35">
      <c r="A99" t="s">
        <v>7</v>
      </c>
      <c r="B99" t="s">
        <v>5</v>
      </c>
      <c r="C99">
        <v>3.1</v>
      </c>
      <c r="D99" t="s">
        <v>6</v>
      </c>
      <c r="F99" t="s">
        <v>4</v>
      </c>
      <c r="G99" t="s">
        <v>5</v>
      </c>
      <c r="H99">
        <v>3.0003000000000002</v>
      </c>
      <c r="I99" t="s">
        <v>6</v>
      </c>
      <c r="K99">
        <v>5.1485000000000003</v>
      </c>
      <c r="L99">
        <v>0.21723000000000001</v>
      </c>
    </row>
    <row r="100" spans="1:12" x14ac:dyDescent="0.35">
      <c r="A100" t="s">
        <v>7</v>
      </c>
      <c r="B100" t="s">
        <v>5</v>
      </c>
      <c r="C100">
        <v>3.1</v>
      </c>
      <c r="D100" t="s">
        <v>9</v>
      </c>
      <c r="F100" t="s">
        <v>4</v>
      </c>
      <c r="G100" t="s">
        <v>5</v>
      </c>
      <c r="H100">
        <v>3.0003000000000002</v>
      </c>
      <c r="I100" t="s">
        <v>6</v>
      </c>
      <c r="K100">
        <v>5.2727000000000004</v>
      </c>
      <c r="L100">
        <v>0.2117</v>
      </c>
    </row>
    <row r="101" spans="1:12" x14ac:dyDescent="0.35">
      <c r="A101" t="s">
        <v>7</v>
      </c>
      <c r="B101" t="s">
        <v>5</v>
      </c>
      <c r="C101">
        <v>3.1</v>
      </c>
      <c r="D101" t="s">
        <v>6</v>
      </c>
      <c r="F101" t="s">
        <v>4</v>
      </c>
      <c r="G101" t="s">
        <v>5</v>
      </c>
      <c r="H101">
        <v>3.0003000000000002</v>
      </c>
      <c r="I101" t="s">
        <v>9</v>
      </c>
      <c r="K101">
        <v>5.2149999999999999</v>
      </c>
      <c r="L101">
        <v>0.20982000000000001</v>
      </c>
    </row>
    <row r="102" spans="1:12" x14ac:dyDescent="0.35">
      <c r="A102" t="s">
        <v>7</v>
      </c>
      <c r="B102" t="s">
        <v>5</v>
      </c>
      <c r="C102">
        <v>3.1</v>
      </c>
      <c r="D102" t="s">
        <v>9</v>
      </c>
      <c r="F102" t="s">
        <v>4</v>
      </c>
      <c r="G102" t="s">
        <v>5</v>
      </c>
      <c r="H102">
        <v>3.0003000000000002</v>
      </c>
      <c r="I102" t="s">
        <v>9</v>
      </c>
      <c r="K102">
        <v>5.1477000000000004</v>
      </c>
      <c r="L102">
        <v>0.22126999999999999</v>
      </c>
    </row>
    <row r="104" spans="1:12" x14ac:dyDescent="0.35">
      <c r="A104" t="s">
        <v>7</v>
      </c>
      <c r="B104" t="s">
        <v>5</v>
      </c>
      <c r="C104">
        <v>3.03</v>
      </c>
      <c r="D104" t="s">
        <v>6</v>
      </c>
      <c r="F104" t="s">
        <v>4</v>
      </c>
      <c r="G104" t="s">
        <v>5</v>
      </c>
      <c r="H104">
        <v>3.0003000000000002</v>
      </c>
      <c r="I104" t="s">
        <v>6</v>
      </c>
      <c r="K104">
        <v>5.1574999999999998</v>
      </c>
      <c r="L104">
        <v>0.22458</v>
      </c>
    </row>
    <row r="105" spans="1:12" x14ac:dyDescent="0.35">
      <c r="A105" t="s">
        <v>7</v>
      </c>
      <c r="B105" t="s">
        <v>5</v>
      </c>
      <c r="C105">
        <v>3.03</v>
      </c>
      <c r="D105" t="s">
        <v>9</v>
      </c>
      <c r="F105" t="s">
        <v>4</v>
      </c>
      <c r="G105" t="s">
        <v>5</v>
      </c>
      <c r="H105">
        <v>3.0003000000000002</v>
      </c>
      <c r="I105" t="s">
        <v>6</v>
      </c>
      <c r="K105">
        <v>5.1550000000000002</v>
      </c>
      <c r="L105">
        <v>0.20915</v>
      </c>
    </row>
    <row r="106" spans="1:12" x14ac:dyDescent="0.35">
      <c r="A106" t="s">
        <v>7</v>
      </c>
      <c r="B106" t="s">
        <v>5</v>
      </c>
      <c r="C106">
        <v>3.03</v>
      </c>
      <c r="D106" t="s">
        <v>6</v>
      </c>
      <c r="F106" t="s">
        <v>4</v>
      </c>
      <c r="G106" t="s">
        <v>5</v>
      </c>
      <c r="H106">
        <v>3.0003000000000002</v>
      </c>
      <c r="I106" t="s">
        <v>9</v>
      </c>
      <c r="K106">
        <v>5.0769000000000002</v>
      </c>
      <c r="L106">
        <v>0.21820999999999999</v>
      </c>
    </row>
    <row r="107" spans="1:12" x14ac:dyDescent="0.35">
      <c r="A107" t="s">
        <v>7</v>
      </c>
      <c r="B107" t="s">
        <v>5</v>
      </c>
      <c r="C107">
        <v>3.03</v>
      </c>
      <c r="D107" t="s">
        <v>9</v>
      </c>
      <c r="F107" t="s">
        <v>4</v>
      </c>
      <c r="G107" t="s">
        <v>5</v>
      </c>
      <c r="H107">
        <v>3.0003000000000002</v>
      </c>
      <c r="I107" t="s">
        <v>9</v>
      </c>
      <c r="K107">
        <v>5.0777000000000001</v>
      </c>
      <c r="L107">
        <v>0.21468999999999999</v>
      </c>
    </row>
    <row r="109" spans="1:12" x14ac:dyDescent="0.35">
      <c r="A109" t="s">
        <v>7</v>
      </c>
      <c r="B109" t="s">
        <v>11</v>
      </c>
      <c r="C109">
        <v>3</v>
      </c>
      <c r="D109" t="s">
        <v>13</v>
      </c>
      <c r="F109" t="s">
        <v>4</v>
      </c>
      <c r="G109" t="s">
        <v>5</v>
      </c>
      <c r="H109">
        <v>3.0003000000000002</v>
      </c>
      <c r="I109" t="s">
        <v>6</v>
      </c>
      <c r="K109">
        <v>5.2374000000000001</v>
      </c>
      <c r="L109">
        <v>0.20277999999999999</v>
      </c>
    </row>
    <row r="110" spans="1:12" x14ac:dyDescent="0.35">
      <c r="A110" t="s">
        <v>7</v>
      </c>
      <c r="B110" t="s">
        <v>11</v>
      </c>
      <c r="C110">
        <v>3</v>
      </c>
      <c r="D110" t="s">
        <v>12</v>
      </c>
      <c r="F110" t="s">
        <v>4</v>
      </c>
      <c r="G110" t="s">
        <v>5</v>
      </c>
      <c r="H110">
        <v>3.0003000000000002</v>
      </c>
      <c r="I110" t="s">
        <v>6</v>
      </c>
      <c r="K110">
        <v>5.4593999999999996</v>
      </c>
      <c r="L110">
        <v>0.18267</v>
      </c>
    </row>
    <row r="111" spans="1:12" x14ac:dyDescent="0.35">
      <c r="A111" t="s">
        <v>7</v>
      </c>
      <c r="B111" t="s">
        <v>11</v>
      </c>
      <c r="C111">
        <v>3</v>
      </c>
      <c r="D111" t="s">
        <v>13</v>
      </c>
      <c r="F111" t="s">
        <v>4</v>
      </c>
      <c r="G111" t="s">
        <v>5</v>
      </c>
      <c r="H111">
        <v>3.0003000000000002</v>
      </c>
      <c r="I111" t="s">
        <v>9</v>
      </c>
      <c r="K111">
        <v>5.0224000000000002</v>
      </c>
      <c r="L111">
        <v>0.21209</v>
      </c>
    </row>
    <row r="112" spans="1:12" x14ac:dyDescent="0.35">
      <c r="A112" t="s">
        <v>7</v>
      </c>
      <c r="B112" t="s">
        <v>11</v>
      </c>
      <c r="C112">
        <v>3</v>
      </c>
      <c r="D112" t="s">
        <v>12</v>
      </c>
      <c r="F112" t="s">
        <v>4</v>
      </c>
      <c r="G112" t="s">
        <v>5</v>
      </c>
      <c r="H112">
        <v>3.0003000000000002</v>
      </c>
      <c r="I112" t="s">
        <v>9</v>
      </c>
      <c r="K112">
        <v>5.1167999999999996</v>
      </c>
      <c r="L112">
        <v>0.21582999999999999</v>
      </c>
    </row>
    <row r="114" spans="1:12" x14ac:dyDescent="0.35">
      <c r="A114" t="s">
        <v>7</v>
      </c>
      <c r="B114" t="s">
        <v>14</v>
      </c>
      <c r="C114">
        <v>3.03</v>
      </c>
      <c r="F114" t="s">
        <v>4</v>
      </c>
      <c r="G114" t="s">
        <v>5</v>
      </c>
      <c r="H114">
        <v>3.0003000000000002</v>
      </c>
      <c r="I114" t="s">
        <v>6</v>
      </c>
      <c r="K114">
        <v>5.1124999999999998</v>
      </c>
      <c r="L114">
        <v>0.20845</v>
      </c>
    </row>
    <row r="115" spans="1:12" x14ac:dyDescent="0.35">
      <c r="A115" t="s">
        <v>7</v>
      </c>
      <c r="B115" t="s">
        <v>14</v>
      </c>
      <c r="C115">
        <v>3.03</v>
      </c>
      <c r="F115" t="s">
        <v>4</v>
      </c>
      <c r="G115" t="s">
        <v>5</v>
      </c>
      <c r="H115">
        <v>3.0003000000000002</v>
      </c>
      <c r="I115" t="s">
        <v>9</v>
      </c>
      <c r="K115">
        <v>5.2929000000000004</v>
      </c>
      <c r="L115">
        <v>0.2097</v>
      </c>
    </row>
    <row r="117" spans="1:12" x14ac:dyDescent="0.35">
      <c r="A117" t="s">
        <v>7</v>
      </c>
      <c r="B117" t="s">
        <v>15</v>
      </c>
      <c r="C117">
        <v>3.03</v>
      </c>
      <c r="F117" t="s">
        <v>4</v>
      </c>
      <c r="G117" t="s">
        <v>5</v>
      </c>
      <c r="H117">
        <v>3.0003000000000002</v>
      </c>
      <c r="I117" t="s">
        <v>6</v>
      </c>
      <c r="K117">
        <v>5.1665999999999999</v>
      </c>
      <c r="L117">
        <v>0.21598000000000001</v>
      </c>
    </row>
    <row r="118" spans="1:12" x14ac:dyDescent="0.35">
      <c r="A118" t="s">
        <v>7</v>
      </c>
      <c r="B118" t="s">
        <v>15</v>
      </c>
      <c r="C118">
        <v>3.03</v>
      </c>
      <c r="F118" t="s">
        <v>4</v>
      </c>
      <c r="G118" t="s">
        <v>5</v>
      </c>
      <c r="H118">
        <v>3.0003000000000002</v>
      </c>
      <c r="I118" t="s">
        <v>9</v>
      </c>
      <c r="K118">
        <v>5.0263999999999998</v>
      </c>
      <c r="L118">
        <v>0.21657999999999999</v>
      </c>
    </row>
    <row r="120" spans="1:12" x14ac:dyDescent="0.35">
      <c r="A120" t="s">
        <v>7</v>
      </c>
      <c r="B120" t="s">
        <v>5</v>
      </c>
      <c r="C120">
        <v>3.1</v>
      </c>
      <c r="D120" t="s">
        <v>6</v>
      </c>
      <c r="F120" t="s">
        <v>7</v>
      </c>
      <c r="G120" t="s">
        <v>14</v>
      </c>
      <c r="H120">
        <v>3.0003500000000001</v>
      </c>
      <c r="K120">
        <v>5.6978999999999997</v>
      </c>
      <c r="L120">
        <v>0.19697000000000001</v>
      </c>
    </row>
    <row r="121" spans="1:12" x14ac:dyDescent="0.35">
      <c r="A121" t="s">
        <v>7</v>
      </c>
      <c r="B121" t="s">
        <v>5</v>
      </c>
      <c r="C121">
        <v>3.1</v>
      </c>
      <c r="D121" t="s">
        <v>9</v>
      </c>
      <c r="F121" t="s">
        <v>7</v>
      </c>
      <c r="G121" t="s">
        <v>14</v>
      </c>
      <c r="H121">
        <v>3.0003500000000001</v>
      </c>
      <c r="K121">
        <v>5.5609000000000002</v>
      </c>
      <c r="L121">
        <v>0.21676000000000001</v>
      </c>
    </row>
    <row r="123" spans="1:12" x14ac:dyDescent="0.35">
      <c r="A123" t="s">
        <v>7</v>
      </c>
      <c r="B123" t="s">
        <v>5</v>
      </c>
      <c r="C123">
        <v>3.03</v>
      </c>
      <c r="D123" t="s">
        <v>6</v>
      </c>
      <c r="F123" t="s">
        <v>7</v>
      </c>
      <c r="G123" t="s">
        <v>14</v>
      </c>
      <c r="H123">
        <v>3.0003500000000001</v>
      </c>
      <c r="K123">
        <v>5.6245000000000003</v>
      </c>
      <c r="L123">
        <v>0.20823</v>
      </c>
    </row>
    <row r="124" spans="1:12" x14ac:dyDescent="0.35">
      <c r="A124" t="s">
        <v>7</v>
      </c>
      <c r="B124" t="s">
        <v>5</v>
      </c>
      <c r="C124">
        <v>3.03</v>
      </c>
      <c r="D124" t="s">
        <v>9</v>
      </c>
      <c r="F124" t="s">
        <v>7</v>
      </c>
      <c r="G124" t="s">
        <v>14</v>
      </c>
      <c r="H124">
        <v>3.0003500000000001</v>
      </c>
      <c r="K124">
        <v>5.5366999999999997</v>
      </c>
      <c r="L124">
        <v>0.21079000000000001</v>
      </c>
    </row>
    <row r="126" spans="1:12" x14ac:dyDescent="0.35">
      <c r="A126" t="s">
        <v>7</v>
      </c>
      <c r="B126" t="s">
        <v>11</v>
      </c>
      <c r="C126">
        <v>3</v>
      </c>
      <c r="D126" t="s">
        <v>13</v>
      </c>
      <c r="F126" t="s">
        <v>7</v>
      </c>
      <c r="G126" t="s">
        <v>14</v>
      </c>
      <c r="H126">
        <v>3.0003500000000001</v>
      </c>
      <c r="K126">
        <v>5.4245999999999999</v>
      </c>
      <c r="L126">
        <v>0.23333000000000001</v>
      </c>
    </row>
    <row r="127" spans="1:12" x14ac:dyDescent="0.35">
      <c r="A127" t="s">
        <v>7</v>
      </c>
      <c r="B127" t="s">
        <v>11</v>
      </c>
      <c r="C127">
        <v>3</v>
      </c>
      <c r="D127" t="s">
        <v>12</v>
      </c>
      <c r="F127" t="s">
        <v>7</v>
      </c>
      <c r="G127" t="s">
        <v>14</v>
      </c>
      <c r="H127">
        <v>3.0003500000000001</v>
      </c>
      <c r="K127">
        <v>5.7546999999999997</v>
      </c>
      <c r="L127">
        <v>0.18101</v>
      </c>
    </row>
    <row r="129" spans="1:12" x14ac:dyDescent="0.35">
      <c r="A129" t="s">
        <v>7</v>
      </c>
      <c r="B129" t="s">
        <v>5</v>
      </c>
      <c r="C129">
        <v>3.1</v>
      </c>
      <c r="D129" t="s">
        <v>6</v>
      </c>
      <c r="F129" t="s">
        <v>4</v>
      </c>
      <c r="G129" t="s">
        <v>14</v>
      </c>
      <c r="H129">
        <v>3.0003500000000001</v>
      </c>
      <c r="K129">
        <v>6.0983999999999998</v>
      </c>
      <c r="L129">
        <v>0.20030999999999999</v>
      </c>
    </row>
    <row r="130" spans="1:12" x14ac:dyDescent="0.35">
      <c r="A130" t="s">
        <v>7</v>
      </c>
      <c r="B130" t="s">
        <v>5</v>
      </c>
      <c r="C130">
        <v>3.1</v>
      </c>
      <c r="D130" t="s">
        <v>9</v>
      </c>
      <c r="F130" t="s">
        <v>4</v>
      </c>
      <c r="G130" t="s">
        <v>14</v>
      </c>
      <c r="H130">
        <v>3.0003500000000001</v>
      </c>
      <c r="K130">
        <v>5.9207999999999998</v>
      </c>
      <c r="L130">
        <v>0.22144</v>
      </c>
    </row>
    <row r="132" spans="1:12" x14ac:dyDescent="0.35">
      <c r="A132" t="s">
        <v>7</v>
      </c>
      <c r="B132" t="s">
        <v>5</v>
      </c>
      <c r="C132">
        <v>3.03</v>
      </c>
      <c r="D132" t="s">
        <v>6</v>
      </c>
      <c r="F132" t="s">
        <v>4</v>
      </c>
      <c r="G132" t="s">
        <v>14</v>
      </c>
      <c r="H132">
        <v>3.0003500000000001</v>
      </c>
      <c r="K132">
        <v>5.8297999999999996</v>
      </c>
      <c r="L132">
        <v>0.20232</v>
      </c>
    </row>
    <row r="133" spans="1:12" x14ac:dyDescent="0.35">
      <c r="A133" t="s">
        <v>7</v>
      </c>
      <c r="B133" t="s">
        <v>5</v>
      </c>
      <c r="C133">
        <v>3.03</v>
      </c>
      <c r="D133" t="s">
        <v>9</v>
      </c>
      <c r="F133" t="s">
        <v>4</v>
      </c>
      <c r="G133" t="s">
        <v>14</v>
      </c>
      <c r="H133">
        <v>3.0003500000000001</v>
      </c>
      <c r="K133">
        <v>5.8958000000000004</v>
      </c>
      <c r="L133">
        <v>0.21714</v>
      </c>
    </row>
    <row r="135" spans="1:12" x14ac:dyDescent="0.35">
      <c r="A135" t="s">
        <v>7</v>
      </c>
      <c r="B135" t="s">
        <v>11</v>
      </c>
      <c r="C135">
        <v>3</v>
      </c>
      <c r="D135" t="s">
        <v>13</v>
      </c>
      <c r="F135" t="s">
        <v>4</v>
      </c>
      <c r="G135" t="s">
        <v>14</v>
      </c>
      <c r="H135">
        <v>3.0003500000000001</v>
      </c>
      <c r="K135">
        <v>5.9527999999999999</v>
      </c>
      <c r="L135">
        <v>0.22134000000000001</v>
      </c>
    </row>
    <row r="136" spans="1:12" x14ac:dyDescent="0.35">
      <c r="A136" t="s">
        <v>7</v>
      </c>
      <c r="B136" t="s">
        <v>11</v>
      </c>
      <c r="C136">
        <v>3</v>
      </c>
      <c r="D136" t="s">
        <v>12</v>
      </c>
      <c r="F136" t="s">
        <v>4</v>
      </c>
      <c r="G136" t="s">
        <v>14</v>
      </c>
      <c r="H136">
        <v>3.0003500000000001</v>
      </c>
      <c r="K136">
        <v>5.7209000000000003</v>
      </c>
      <c r="L136">
        <v>0.23116</v>
      </c>
    </row>
    <row r="142" spans="1:12" x14ac:dyDescent="0.35">
      <c r="A142" t="s">
        <v>4</v>
      </c>
      <c r="B142" t="s">
        <v>5</v>
      </c>
      <c r="C142">
        <v>3.13</v>
      </c>
      <c r="D142" t="s">
        <v>9</v>
      </c>
      <c r="F142" t="s">
        <v>4</v>
      </c>
      <c r="G142" t="s">
        <v>5</v>
      </c>
      <c r="H142">
        <v>3.0007130000000002</v>
      </c>
      <c r="I142" t="s">
        <v>9</v>
      </c>
      <c r="K142">
        <v>5.9417</v>
      </c>
      <c r="L142">
        <v>0.18151</v>
      </c>
    </row>
    <row r="143" spans="1:12" x14ac:dyDescent="0.35">
      <c r="A143" t="s">
        <v>4</v>
      </c>
      <c r="B143" t="s">
        <v>5</v>
      </c>
      <c r="C143">
        <v>3.1</v>
      </c>
      <c r="D143" t="s">
        <v>9</v>
      </c>
      <c r="F143" t="s">
        <v>4</v>
      </c>
      <c r="G143" t="s">
        <v>5</v>
      </c>
      <c r="H143">
        <v>3.0007130000000002</v>
      </c>
      <c r="I143" t="s">
        <v>9</v>
      </c>
      <c r="K143">
        <v>5.9039000000000001</v>
      </c>
      <c r="L143">
        <v>0.19472</v>
      </c>
    </row>
    <row r="144" spans="1:12" x14ac:dyDescent="0.35">
      <c r="A144" t="s">
        <v>4</v>
      </c>
      <c r="B144" t="s">
        <v>5</v>
      </c>
      <c r="C144">
        <v>3.07</v>
      </c>
      <c r="D144" t="s">
        <v>9</v>
      </c>
      <c r="F144" t="s">
        <v>4</v>
      </c>
      <c r="G144" t="s">
        <v>5</v>
      </c>
      <c r="H144">
        <v>3.0007130000000002</v>
      </c>
      <c r="I144" t="s">
        <v>9</v>
      </c>
      <c r="K144">
        <v>5.9431000000000003</v>
      </c>
      <c r="L144">
        <v>0.19372</v>
      </c>
    </row>
    <row r="145" spans="1:12" x14ac:dyDescent="0.35">
      <c r="A145" t="s">
        <v>4</v>
      </c>
      <c r="B145" t="s">
        <v>5</v>
      </c>
      <c r="C145">
        <v>3.03</v>
      </c>
      <c r="D145" t="s">
        <v>9</v>
      </c>
      <c r="F145" t="s">
        <v>4</v>
      </c>
      <c r="G145" t="s">
        <v>5</v>
      </c>
      <c r="H145">
        <v>3.0007130000000002</v>
      </c>
      <c r="I145" t="s">
        <v>9</v>
      </c>
      <c r="K145">
        <v>5.7575000000000003</v>
      </c>
      <c r="L145">
        <v>0.19294</v>
      </c>
    </row>
    <row r="147" spans="1:12" x14ac:dyDescent="0.35">
      <c r="A147" t="s">
        <v>4</v>
      </c>
      <c r="B147" t="s">
        <v>14</v>
      </c>
      <c r="C147">
        <v>3.13</v>
      </c>
      <c r="F147" t="s">
        <v>4</v>
      </c>
      <c r="G147" t="s">
        <v>5</v>
      </c>
      <c r="H147">
        <v>3.0007130000000002</v>
      </c>
      <c r="I147" t="s">
        <v>9</v>
      </c>
      <c r="K147">
        <v>5.8693999999999997</v>
      </c>
      <c r="L147">
        <v>0.18645</v>
      </c>
    </row>
    <row r="148" spans="1:12" x14ac:dyDescent="0.35">
      <c r="A148" t="s">
        <v>4</v>
      </c>
      <c r="B148" t="s">
        <v>14</v>
      </c>
      <c r="C148">
        <v>3.1</v>
      </c>
      <c r="F148" t="s">
        <v>4</v>
      </c>
      <c r="G148" t="s">
        <v>5</v>
      </c>
      <c r="H148">
        <v>3.0007130000000002</v>
      </c>
      <c r="I148" t="s">
        <v>9</v>
      </c>
      <c r="K148">
        <v>6.0933999999999999</v>
      </c>
      <c r="L148">
        <v>0.18795000000000001</v>
      </c>
    </row>
    <row r="149" spans="1:12" x14ac:dyDescent="0.35">
      <c r="A149" t="s">
        <v>4</v>
      </c>
      <c r="B149" t="s">
        <v>14</v>
      </c>
      <c r="C149">
        <v>3.07</v>
      </c>
      <c r="F149" t="s">
        <v>4</v>
      </c>
      <c r="G149" t="s">
        <v>5</v>
      </c>
      <c r="H149">
        <v>3.0007130000000002</v>
      </c>
      <c r="I149" t="s">
        <v>9</v>
      </c>
      <c r="K149">
        <v>5.7554999999999996</v>
      </c>
      <c r="L149">
        <v>0.21007000000000001</v>
      </c>
    </row>
    <row r="150" spans="1:12" x14ac:dyDescent="0.35">
      <c r="A150" t="s">
        <v>4</v>
      </c>
      <c r="B150" t="s">
        <v>14</v>
      </c>
      <c r="C150">
        <v>3.03</v>
      </c>
      <c r="F150" t="s">
        <v>4</v>
      </c>
      <c r="G150" t="s">
        <v>5</v>
      </c>
      <c r="H150">
        <v>3.0007130000000002</v>
      </c>
      <c r="I150" t="s">
        <v>9</v>
      </c>
      <c r="K150">
        <v>5.9287999999999998</v>
      </c>
      <c r="L150">
        <v>0.1933</v>
      </c>
    </row>
    <row r="151" spans="1:12" x14ac:dyDescent="0.35">
      <c r="A151" t="s">
        <v>4</v>
      </c>
      <c r="B151" t="s">
        <v>14</v>
      </c>
      <c r="C151">
        <v>3</v>
      </c>
      <c r="F151" t="s">
        <v>4</v>
      </c>
      <c r="G151" t="s">
        <v>5</v>
      </c>
      <c r="H151">
        <v>3.0007130000000002</v>
      </c>
      <c r="I151" t="s">
        <v>9</v>
      </c>
      <c r="K151">
        <v>6.2807000000000004</v>
      </c>
      <c r="L151">
        <v>0.17698</v>
      </c>
    </row>
    <row r="152" spans="1:12" x14ac:dyDescent="0.35">
      <c r="A152" t="s">
        <v>4</v>
      </c>
      <c r="B152" t="s">
        <v>14</v>
      </c>
      <c r="C152">
        <v>2.97</v>
      </c>
      <c r="F152" t="s">
        <v>4</v>
      </c>
      <c r="G152" t="s">
        <v>5</v>
      </c>
      <c r="H152">
        <v>3.0007130000000002</v>
      </c>
      <c r="I152" t="s">
        <v>9</v>
      </c>
      <c r="K152">
        <v>5.8676000000000004</v>
      </c>
      <c r="L152">
        <v>0.19458</v>
      </c>
    </row>
    <row r="154" spans="1:12" x14ac:dyDescent="0.35">
      <c r="A154" t="s">
        <v>4</v>
      </c>
      <c r="B154" t="s">
        <v>15</v>
      </c>
      <c r="C154">
        <v>3.13</v>
      </c>
      <c r="F154" t="s">
        <v>4</v>
      </c>
      <c r="G154" t="s">
        <v>5</v>
      </c>
      <c r="H154">
        <v>3.0007130000000002</v>
      </c>
      <c r="I154" t="s">
        <v>9</v>
      </c>
      <c r="K154">
        <v>5.8093000000000004</v>
      </c>
      <c r="L154">
        <v>0.19647000000000001</v>
      </c>
    </row>
    <row r="155" spans="1:12" x14ac:dyDescent="0.35">
      <c r="A155" t="s">
        <v>4</v>
      </c>
      <c r="B155" t="s">
        <v>15</v>
      </c>
      <c r="C155">
        <v>3.1</v>
      </c>
      <c r="F155" t="s">
        <v>4</v>
      </c>
      <c r="G155" t="s">
        <v>5</v>
      </c>
      <c r="H155">
        <v>3.0007130000000002</v>
      </c>
      <c r="I155" t="s">
        <v>9</v>
      </c>
      <c r="K155">
        <v>5.7706</v>
      </c>
      <c r="L155">
        <v>0.21460000000000001</v>
      </c>
    </row>
    <row r="156" spans="1:12" x14ac:dyDescent="0.35">
      <c r="A156" t="s">
        <v>4</v>
      </c>
      <c r="B156" t="s">
        <v>15</v>
      </c>
      <c r="C156">
        <v>3.07</v>
      </c>
      <c r="F156" t="s">
        <v>4</v>
      </c>
      <c r="G156" t="s">
        <v>5</v>
      </c>
      <c r="H156">
        <v>3.0007130000000002</v>
      </c>
      <c r="I156" t="s">
        <v>9</v>
      </c>
      <c r="K156">
        <v>5.6559999999999997</v>
      </c>
      <c r="L156">
        <v>0.22026999999999999</v>
      </c>
    </row>
    <row r="157" spans="1:12" x14ac:dyDescent="0.35">
      <c r="A157" t="s">
        <v>4</v>
      </c>
      <c r="B157" t="s">
        <v>15</v>
      </c>
      <c r="C157">
        <v>3.03</v>
      </c>
      <c r="F157" t="s">
        <v>4</v>
      </c>
      <c r="G157" t="s">
        <v>5</v>
      </c>
      <c r="H157">
        <v>3.0007130000000002</v>
      </c>
      <c r="I157" t="s">
        <v>9</v>
      </c>
      <c r="K157">
        <v>5.5433000000000003</v>
      </c>
      <c r="L157">
        <v>0.23846000000000001</v>
      </c>
    </row>
    <row r="158" spans="1:12" x14ac:dyDescent="0.35">
      <c r="A158" t="s">
        <v>4</v>
      </c>
      <c r="B158" t="s">
        <v>15</v>
      </c>
      <c r="C158">
        <v>3</v>
      </c>
      <c r="F158" t="s">
        <v>4</v>
      </c>
      <c r="G158" t="s">
        <v>5</v>
      </c>
      <c r="H158">
        <v>3.0007130000000002</v>
      </c>
      <c r="I158" t="s">
        <v>9</v>
      </c>
      <c r="K158">
        <v>5.4711999999999996</v>
      </c>
      <c r="L158">
        <v>0.24181</v>
      </c>
    </row>
    <row r="159" spans="1:12" x14ac:dyDescent="0.35">
      <c r="A159" t="s">
        <v>4</v>
      </c>
      <c r="B159" t="s">
        <v>15</v>
      </c>
      <c r="C159">
        <v>2.97</v>
      </c>
      <c r="F159" t="s">
        <v>4</v>
      </c>
      <c r="G159" t="s">
        <v>5</v>
      </c>
      <c r="H159">
        <v>3.0007130000000002</v>
      </c>
      <c r="I159" t="s">
        <v>9</v>
      </c>
      <c r="K159">
        <v>5.4184999999999999</v>
      </c>
      <c r="L159">
        <v>0.21506</v>
      </c>
    </row>
    <row r="161" spans="1:12" x14ac:dyDescent="0.35">
      <c r="A161" t="s">
        <v>4</v>
      </c>
      <c r="B161" t="s">
        <v>11</v>
      </c>
      <c r="C161">
        <v>3</v>
      </c>
      <c r="D161" t="s">
        <v>13</v>
      </c>
      <c r="F161" t="s">
        <v>4</v>
      </c>
      <c r="G161" t="s">
        <v>5</v>
      </c>
      <c r="H161">
        <v>3.0007130000000002</v>
      </c>
      <c r="I161" t="s">
        <v>9</v>
      </c>
      <c r="K161">
        <v>5.907</v>
      </c>
      <c r="L161">
        <v>0.20143</v>
      </c>
    </row>
    <row r="162" spans="1:12" x14ac:dyDescent="0.35">
      <c r="A162" t="s">
        <v>4</v>
      </c>
      <c r="B162" t="s">
        <v>11</v>
      </c>
      <c r="C162">
        <v>2.97</v>
      </c>
      <c r="D162" t="s">
        <v>13</v>
      </c>
      <c r="F162" t="s">
        <v>4</v>
      </c>
      <c r="G162" t="s">
        <v>5</v>
      </c>
      <c r="H162">
        <v>3.0007130000000002</v>
      </c>
      <c r="I162" t="s">
        <v>9</v>
      </c>
      <c r="K162">
        <v>5.6767000000000003</v>
      </c>
      <c r="L162">
        <v>0.21967</v>
      </c>
    </row>
    <row r="164" spans="1:12" x14ac:dyDescent="0.35">
      <c r="A164" t="s">
        <v>4</v>
      </c>
      <c r="B164" t="s">
        <v>10</v>
      </c>
      <c r="C164">
        <v>3.07</v>
      </c>
      <c r="D164" t="s">
        <v>9</v>
      </c>
      <c r="F164" t="s">
        <v>4</v>
      </c>
      <c r="G164" t="s">
        <v>5</v>
      </c>
      <c r="H164">
        <v>3.0007130000000002</v>
      </c>
      <c r="I164" t="s">
        <v>9</v>
      </c>
      <c r="K164">
        <v>5.6322999999999999</v>
      </c>
      <c r="L164">
        <v>0.21786</v>
      </c>
    </row>
    <row r="165" spans="1:12" x14ac:dyDescent="0.35">
      <c r="A165" t="s">
        <v>4</v>
      </c>
      <c r="B165" t="s">
        <v>10</v>
      </c>
      <c r="C165">
        <v>3.03</v>
      </c>
      <c r="D165" t="s">
        <v>9</v>
      </c>
      <c r="F165" t="s">
        <v>4</v>
      </c>
      <c r="G165" t="s">
        <v>5</v>
      </c>
      <c r="H165">
        <v>3.0007130000000002</v>
      </c>
      <c r="I165" t="s">
        <v>9</v>
      </c>
      <c r="K165">
        <v>5.6288999999999998</v>
      </c>
      <c r="L165">
        <v>0.21437999999999999</v>
      </c>
    </row>
    <row r="166" spans="1:12" x14ac:dyDescent="0.35">
      <c r="A166" t="s">
        <v>4</v>
      </c>
      <c r="B166" t="s">
        <v>10</v>
      </c>
      <c r="C166">
        <v>3</v>
      </c>
      <c r="D166" t="s">
        <v>9</v>
      </c>
      <c r="F166" t="s">
        <v>4</v>
      </c>
      <c r="G166" t="s">
        <v>5</v>
      </c>
      <c r="H166">
        <v>3.0007130000000002</v>
      </c>
      <c r="I166" t="s">
        <v>9</v>
      </c>
      <c r="K166">
        <v>5.4493</v>
      </c>
      <c r="L166">
        <v>0.21262</v>
      </c>
    </row>
    <row r="167" spans="1:12" x14ac:dyDescent="0.35">
      <c r="A167" t="s">
        <v>4</v>
      </c>
      <c r="B167" t="s">
        <v>10</v>
      </c>
      <c r="C167">
        <v>2.97</v>
      </c>
      <c r="D167" t="s">
        <v>9</v>
      </c>
      <c r="F167" t="s">
        <v>4</v>
      </c>
      <c r="G167" t="s">
        <v>5</v>
      </c>
      <c r="H167">
        <v>3.0007130000000002</v>
      </c>
      <c r="I167" t="s">
        <v>9</v>
      </c>
      <c r="K167">
        <v>5.3742000000000001</v>
      </c>
      <c r="L167">
        <v>0.20906</v>
      </c>
    </row>
    <row r="169" spans="1:12" x14ac:dyDescent="0.35">
      <c r="A169" t="s">
        <v>4</v>
      </c>
      <c r="B169" t="s">
        <v>5</v>
      </c>
      <c r="C169">
        <v>3.13</v>
      </c>
      <c r="D169" t="s">
        <v>9</v>
      </c>
      <c r="F169" t="s">
        <v>4</v>
      </c>
      <c r="G169" t="s">
        <v>5</v>
      </c>
      <c r="H169">
        <v>3.0005000000000002</v>
      </c>
      <c r="I169" t="s">
        <v>9</v>
      </c>
      <c r="K169">
        <v>5.7872000000000003</v>
      </c>
      <c r="L169">
        <v>0.19996</v>
      </c>
    </row>
    <row r="170" spans="1:12" x14ac:dyDescent="0.35">
      <c r="A170" t="s">
        <v>4</v>
      </c>
      <c r="B170" t="s">
        <v>5</v>
      </c>
      <c r="C170">
        <v>3.1</v>
      </c>
      <c r="D170" t="s">
        <v>9</v>
      </c>
      <c r="F170" t="s">
        <v>4</v>
      </c>
      <c r="G170" t="s">
        <v>5</v>
      </c>
      <c r="H170">
        <v>3.0005000000000002</v>
      </c>
      <c r="I170" t="s">
        <v>9</v>
      </c>
      <c r="K170">
        <v>5.7016</v>
      </c>
      <c r="L170">
        <v>0.19509000000000001</v>
      </c>
    </row>
    <row r="171" spans="1:12" x14ac:dyDescent="0.35">
      <c r="A171" t="s">
        <v>4</v>
      </c>
      <c r="B171" t="s">
        <v>5</v>
      </c>
      <c r="C171">
        <v>3.07</v>
      </c>
      <c r="D171" t="s">
        <v>9</v>
      </c>
      <c r="F171" t="s">
        <v>4</v>
      </c>
      <c r="G171" t="s">
        <v>5</v>
      </c>
      <c r="H171">
        <v>3.0005000000000002</v>
      </c>
      <c r="I171" t="s">
        <v>9</v>
      </c>
      <c r="K171">
        <v>5.6570999999999998</v>
      </c>
      <c r="L171">
        <v>0.19091</v>
      </c>
    </row>
    <row r="172" spans="1:12" x14ac:dyDescent="0.35">
      <c r="A172" t="s">
        <v>4</v>
      </c>
      <c r="B172" t="s">
        <v>5</v>
      </c>
      <c r="C172">
        <v>3.03</v>
      </c>
      <c r="D172" t="s">
        <v>9</v>
      </c>
      <c r="F172" t="s">
        <v>4</v>
      </c>
      <c r="G172" t="s">
        <v>5</v>
      </c>
      <c r="H172">
        <v>3.0005000000000002</v>
      </c>
      <c r="I172" t="s">
        <v>9</v>
      </c>
      <c r="K172">
        <v>5.6357999999999997</v>
      </c>
      <c r="L172">
        <v>0.20130999999999999</v>
      </c>
    </row>
    <row r="174" spans="1:12" x14ac:dyDescent="0.35">
      <c r="A174" t="s">
        <v>4</v>
      </c>
      <c r="B174" t="s">
        <v>14</v>
      </c>
      <c r="C174">
        <v>3.13</v>
      </c>
      <c r="F174" t="s">
        <v>4</v>
      </c>
      <c r="G174" t="s">
        <v>5</v>
      </c>
      <c r="H174">
        <v>3.0005000000000002</v>
      </c>
      <c r="I174" t="s">
        <v>9</v>
      </c>
      <c r="K174">
        <v>5.8139000000000003</v>
      </c>
      <c r="L174">
        <v>0.1817</v>
      </c>
    </row>
    <row r="175" spans="1:12" x14ac:dyDescent="0.35">
      <c r="A175" t="s">
        <v>4</v>
      </c>
      <c r="B175" t="s">
        <v>14</v>
      </c>
      <c r="C175">
        <v>3.1</v>
      </c>
      <c r="F175" t="s">
        <v>4</v>
      </c>
      <c r="G175" t="s">
        <v>5</v>
      </c>
      <c r="H175">
        <v>3.0005000000000002</v>
      </c>
      <c r="I175" t="s">
        <v>9</v>
      </c>
      <c r="K175">
        <v>5.7327000000000004</v>
      </c>
      <c r="L175">
        <v>0.17960999999999999</v>
      </c>
    </row>
    <row r="176" spans="1:12" x14ac:dyDescent="0.35">
      <c r="A176" t="s">
        <v>4</v>
      </c>
      <c r="B176" t="s">
        <v>14</v>
      </c>
      <c r="C176">
        <v>3.07</v>
      </c>
      <c r="F176" t="s">
        <v>4</v>
      </c>
      <c r="G176" t="s">
        <v>5</v>
      </c>
      <c r="H176">
        <v>3.0005000000000002</v>
      </c>
      <c r="I176" t="s">
        <v>9</v>
      </c>
      <c r="K176">
        <v>5.7676999999999996</v>
      </c>
      <c r="L176">
        <v>0.20029</v>
      </c>
    </row>
    <row r="177" spans="1:12" x14ac:dyDescent="0.35">
      <c r="A177" t="s">
        <v>4</v>
      </c>
      <c r="B177" t="s">
        <v>14</v>
      </c>
      <c r="C177">
        <v>3.03</v>
      </c>
      <c r="F177" t="s">
        <v>4</v>
      </c>
      <c r="G177" t="s">
        <v>5</v>
      </c>
      <c r="H177">
        <v>3.0005000000000002</v>
      </c>
      <c r="I177" t="s">
        <v>9</v>
      </c>
      <c r="K177">
        <v>5.7005999999999997</v>
      </c>
      <c r="L177">
        <v>0.19592999999999999</v>
      </c>
    </row>
    <row r="178" spans="1:12" x14ac:dyDescent="0.35">
      <c r="A178" t="s">
        <v>4</v>
      </c>
      <c r="B178" t="s">
        <v>14</v>
      </c>
      <c r="C178">
        <v>3</v>
      </c>
      <c r="F178" t="s">
        <v>4</v>
      </c>
      <c r="G178" t="s">
        <v>5</v>
      </c>
      <c r="H178">
        <v>3.0005000000000002</v>
      </c>
      <c r="I178" t="s">
        <v>9</v>
      </c>
      <c r="K178">
        <v>5.7561999999999998</v>
      </c>
      <c r="L178">
        <v>0.17895</v>
      </c>
    </row>
    <row r="179" spans="1:12" x14ac:dyDescent="0.35">
      <c r="A179" t="s">
        <v>4</v>
      </c>
      <c r="B179" t="s">
        <v>14</v>
      </c>
      <c r="C179">
        <v>2.97</v>
      </c>
      <c r="F179" t="s">
        <v>4</v>
      </c>
      <c r="G179" t="s">
        <v>5</v>
      </c>
      <c r="H179">
        <v>3.0005000000000002</v>
      </c>
      <c r="I179" t="s">
        <v>9</v>
      </c>
      <c r="K179">
        <v>5.7662000000000004</v>
      </c>
      <c r="L179">
        <v>0.16733000000000001</v>
      </c>
    </row>
    <row r="181" spans="1:12" x14ac:dyDescent="0.35">
      <c r="A181" t="s">
        <v>4</v>
      </c>
      <c r="B181" t="s">
        <v>15</v>
      </c>
      <c r="C181">
        <v>3.13</v>
      </c>
      <c r="F181" t="s">
        <v>4</v>
      </c>
      <c r="G181" t="s">
        <v>5</v>
      </c>
      <c r="H181">
        <v>3.0005000000000002</v>
      </c>
      <c r="I181" t="s">
        <v>9</v>
      </c>
      <c r="K181">
        <v>5.5479000000000003</v>
      </c>
      <c r="L181">
        <v>0.21424000000000001</v>
      </c>
    </row>
    <row r="182" spans="1:12" x14ac:dyDescent="0.35">
      <c r="A182" t="s">
        <v>4</v>
      </c>
      <c r="B182" t="s">
        <v>15</v>
      </c>
      <c r="C182">
        <v>3.1</v>
      </c>
      <c r="F182" t="s">
        <v>4</v>
      </c>
      <c r="G182" t="s">
        <v>5</v>
      </c>
      <c r="H182">
        <v>3.0005000000000002</v>
      </c>
      <c r="I182" t="s">
        <v>9</v>
      </c>
      <c r="K182">
        <v>5.6311</v>
      </c>
      <c r="L182">
        <v>0.20954999999999999</v>
      </c>
    </row>
    <row r="183" spans="1:12" x14ac:dyDescent="0.35">
      <c r="A183" t="s">
        <v>4</v>
      </c>
      <c r="B183" t="s">
        <v>15</v>
      </c>
      <c r="C183">
        <v>3.07</v>
      </c>
      <c r="F183" t="s">
        <v>4</v>
      </c>
      <c r="G183" t="s">
        <v>5</v>
      </c>
      <c r="H183">
        <v>3.0005000000000002</v>
      </c>
      <c r="I183" t="s">
        <v>9</v>
      </c>
      <c r="K183">
        <v>5.3033999999999999</v>
      </c>
      <c r="L183">
        <v>0.22141</v>
      </c>
    </row>
    <row r="184" spans="1:12" x14ac:dyDescent="0.35">
      <c r="A184" t="s">
        <v>4</v>
      </c>
      <c r="B184" t="s">
        <v>15</v>
      </c>
      <c r="C184">
        <v>3.03</v>
      </c>
      <c r="F184" t="s">
        <v>4</v>
      </c>
      <c r="G184" t="s">
        <v>5</v>
      </c>
      <c r="H184">
        <v>3.0005000000000002</v>
      </c>
      <c r="I184" t="s">
        <v>9</v>
      </c>
      <c r="K184">
        <v>5.3151999999999999</v>
      </c>
      <c r="L184">
        <v>0.22997000000000001</v>
      </c>
    </row>
    <row r="185" spans="1:12" x14ac:dyDescent="0.35">
      <c r="A185" t="s">
        <v>4</v>
      </c>
      <c r="B185" t="s">
        <v>15</v>
      </c>
      <c r="C185">
        <v>3</v>
      </c>
      <c r="F185" t="s">
        <v>4</v>
      </c>
      <c r="G185" t="s">
        <v>5</v>
      </c>
      <c r="H185">
        <v>3.0005000000000002</v>
      </c>
      <c r="I185" t="s">
        <v>9</v>
      </c>
      <c r="K185">
        <v>5.3139000000000003</v>
      </c>
      <c r="L185">
        <v>0.23346</v>
      </c>
    </row>
    <row r="186" spans="1:12" x14ac:dyDescent="0.35">
      <c r="A186" t="s">
        <v>4</v>
      </c>
      <c r="B186" t="s">
        <v>15</v>
      </c>
      <c r="C186">
        <v>2.97</v>
      </c>
      <c r="F186" t="s">
        <v>4</v>
      </c>
      <c r="G186" t="s">
        <v>5</v>
      </c>
      <c r="H186">
        <v>3.0005000000000002</v>
      </c>
      <c r="I186" t="s">
        <v>9</v>
      </c>
      <c r="K186">
        <v>5.2462999999999997</v>
      </c>
      <c r="L186">
        <v>0.21034</v>
      </c>
    </row>
    <row r="188" spans="1:12" x14ac:dyDescent="0.35">
      <c r="A188" t="s">
        <v>4</v>
      </c>
      <c r="B188" t="s">
        <v>11</v>
      </c>
      <c r="C188">
        <v>3</v>
      </c>
      <c r="D188" t="s">
        <v>13</v>
      </c>
      <c r="F188" t="s">
        <v>4</v>
      </c>
      <c r="G188" t="s">
        <v>5</v>
      </c>
      <c r="H188">
        <v>3.0005000000000002</v>
      </c>
      <c r="I188" t="s">
        <v>9</v>
      </c>
      <c r="K188">
        <v>5.6901000000000002</v>
      </c>
      <c r="L188">
        <v>0.18815999999999999</v>
      </c>
    </row>
    <row r="189" spans="1:12" x14ac:dyDescent="0.35">
      <c r="A189" t="s">
        <v>4</v>
      </c>
      <c r="B189" t="s">
        <v>11</v>
      </c>
      <c r="C189">
        <v>2.97</v>
      </c>
      <c r="D189" t="s">
        <v>13</v>
      </c>
      <c r="F189" t="s">
        <v>4</v>
      </c>
      <c r="G189" t="s">
        <v>5</v>
      </c>
      <c r="H189">
        <v>3.0005000000000002</v>
      </c>
      <c r="I189" t="s">
        <v>9</v>
      </c>
      <c r="K189">
        <v>5.4093</v>
      </c>
      <c r="L189">
        <v>0.22383</v>
      </c>
    </row>
    <row r="191" spans="1:12" x14ac:dyDescent="0.35">
      <c r="A191" t="s">
        <v>4</v>
      </c>
      <c r="B191" t="s">
        <v>10</v>
      </c>
      <c r="C191">
        <v>3.07</v>
      </c>
      <c r="D191" t="s">
        <v>9</v>
      </c>
      <c r="F191" t="s">
        <v>4</v>
      </c>
      <c r="G191" t="s">
        <v>5</v>
      </c>
      <c r="H191">
        <v>3.0005000000000002</v>
      </c>
      <c r="I191" t="s">
        <v>9</v>
      </c>
      <c r="K191">
        <v>5.5372000000000003</v>
      </c>
      <c r="L191">
        <v>0.20577999999999999</v>
      </c>
    </row>
    <row r="192" spans="1:12" x14ac:dyDescent="0.35">
      <c r="A192" t="s">
        <v>4</v>
      </c>
      <c r="B192" t="s">
        <v>10</v>
      </c>
      <c r="C192">
        <v>3.03</v>
      </c>
      <c r="D192" t="s">
        <v>9</v>
      </c>
      <c r="F192" t="s">
        <v>4</v>
      </c>
      <c r="G192" t="s">
        <v>5</v>
      </c>
      <c r="H192">
        <v>3.0005000000000002</v>
      </c>
      <c r="I192" t="s">
        <v>9</v>
      </c>
      <c r="K192">
        <v>5.4330999999999996</v>
      </c>
      <c r="L192">
        <v>0.21501000000000001</v>
      </c>
    </row>
    <row r="193" spans="1:12" x14ac:dyDescent="0.35">
      <c r="A193" t="s">
        <v>4</v>
      </c>
      <c r="B193" t="s">
        <v>10</v>
      </c>
      <c r="C193">
        <v>3</v>
      </c>
      <c r="D193" t="s">
        <v>9</v>
      </c>
      <c r="F193" t="s">
        <v>4</v>
      </c>
      <c r="G193" t="s">
        <v>5</v>
      </c>
      <c r="H193">
        <v>3.0005000000000002</v>
      </c>
      <c r="I193" t="s">
        <v>9</v>
      </c>
      <c r="K193">
        <v>5.5621999999999998</v>
      </c>
      <c r="L193">
        <v>0.20061999999999999</v>
      </c>
    </row>
    <row r="194" spans="1:12" x14ac:dyDescent="0.35">
      <c r="A194" t="s">
        <v>4</v>
      </c>
      <c r="B194" t="s">
        <v>10</v>
      </c>
      <c r="C194">
        <v>2.97</v>
      </c>
      <c r="D194" t="s">
        <v>9</v>
      </c>
      <c r="F194" t="s">
        <v>4</v>
      </c>
      <c r="G194" t="s">
        <v>5</v>
      </c>
      <c r="H194">
        <v>3.0005000000000002</v>
      </c>
      <c r="I194" t="s">
        <v>9</v>
      </c>
      <c r="K194">
        <v>5.1623999999999999</v>
      </c>
      <c r="L194">
        <v>0.21088999999999999</v>
      </c>
    </row>
    <row r="196" spans="1:12" x14ac:dyDescent="0.35">
      <c r="A196" t="s">
        <v>4</v>
      </c>
      <c r="B196" t="s">
        <v>5</v>
      </c>
      <c r="C196">
        <v>3.13</v>
      </c>
      <c r="D196" t="s">
        <v>9</v>
      </c>
      <c r="F196" t="s">
        <v>4</v>
      </c>
      <c r="G196" t="s">
        <v>5</v>
      </c>
      <c r="H196">
        <v>3.0003000000000002</v>
      </c>
      <c r="I196" t="s">
        <v>9</v>
      </c>
      <c r="K196">
        <v>5.3654000000000002</v>
      </c>
      <c r="L196">
        <v>0.20352999999999999</v>
      </c>
    </row>
    <row r="197" spans="1:12" x14ac:dyDescent="0.35">
      <c r="A197" t="s">
        <v>4</v>
      </c>
      <c r="B197" t="s">
        <v>5</v>
      </c>
      <c r="C197">
        <v>3.1</v>
      </c>
      <c r="D197" t="s">
        <v>9</v>
      </c>
      <c r="F197" t="s">
        <v>4</v>
      </c>
      <c r="G197" t="s">
        <v>5</v>
      </c>
      <c r="H197">
        <v>3.0003000000000002</v>
      </c>
      <c r="I197" t="s">
        <v>9</v>
      </c>
      <c r="K197">
        <v>5.4244000000000003</v>
      </c>
      <c r="L197">
        <v>0.18687999999999999</v>
      </c>
    </row>
    <row r="198" spans="1:12" x14ac:dyDescent="0.35">
      <c r="A198" t="s">
        <v>4</v>
      </c>
      <c r="B198" t="s">
        <v>5</v>
      </c>
      <c r="C198">
        <v>3.07</v>
      </c>
      <c r="D198" t="s">
        <v>9</v>
      </c>
      <c r="F198" t="s">
        <v>4</v>
      </c>
      <c r="G198" t="s">
        <v>5</v>
      </c>
      <c r="H198">
        <v>3.0003000000000002</v>
      </c>
      <c r="I198" t="s">
        <v>9</v>
      </c>
      <c r="K198">
        <v>5.2382999999999997</v>
      </c>
      <c r="L198">
        <v>0.21748999999999999</v>
      </c>
    </row>
    <row r="199" spans="1:12" x14ac:dyDescent="0.35">
      <c r="A199" t="s">
        <v>4</v>
      </c>
      <c r="B199" t="s">
        <v>5</v>
      </c>
      <c r="C199">
        <v>3.03</v>
      </c>
      <c r="D199" t="s">
        <v>9</v>
      </c>
      <c r="F199" t="s">
        <v>4</v>
      </c>
      <c r="G199" t="s">
        <v>5</v>
      </c>
      <c r="H199">
        <v>3.0003000000000002</v>
      </c>
      <c r="I199" t="s">
        <v>9</v>
      </c>
      <c r="K199">
        <v>5.2862</v>
      </c>
      <c r="L199">
        <v>0.19738</v>
      </c>
    </row>
    <row r="201" spans="1:12" x14ac:dyDescent="0.35">
      <c r="A201" t="s">
        <v>4</v>
      </c>
      <c r="B201" t="s">
        <v>14</v>
      </c>
      <c r="C201">
        <v>3.13</v>
      </c>
      <c r="F201" t="s">
        <v>4</v>
      </c>
      <c r="G201" t="s">
        <v>5</v>
      </c>
      <c r="H201">
        <v>3.0003000000000002</v>
      </c>
      <c r="I201" t="s">
        <v>9</v>
      </c>
      <c r="K201">
        <v>5.4212999999999996</v>
      </c>
      <c r="L201">
        <v>0.18390999999999999</v>
      </c>
    </row>
    <row r="202" spans="1:12" x14ac:dyDescent="0.35">
      <c r="A202" t="s">
        <v>4</v>
      </c>
      <c r="B202" t="s">
        <v>14</v>
      </c>
      <c r="C202">
        <v>3.1</v>
      </c>
      <c r="F202" t="s">
        <v>4</v>
      </c>
      <c r="G202" t="s">
        <v>5</v>
      </c>
      <c r="H202">
        <v>3.0003000000000002</v>
      </c>
      <c r="I202" t="s">
        <v>9</v>
      </c>
      <c r="K202">
        <v>5.4200999999999997</v>
      </c>
      <c r="L202">
        <v>0.19213</v>
      </c>
    </row>
    <row r="203" spans="1:12" x14ac:dyDescent="0.35">
      <c r="A203" t="s">
        <v>4</v>
      </c>
      <c r="B203" t="s">
        <v>14</v>
      </c>
      <c r="C203">
        <v>3.07</v>
      </c>
      <c r="F203" t="s">
        <v>4</v>
      </c>
      <c r="G203" t="s">
        <v>5</v>
      </c>
      <c r="H203">
        <v>3.0003000000000002</v>
      </c>
      <c r="I203" t="s">
        <v>9</v>
      </c>
      <c r="K203">
        <v>5.4269999999999996</v>
      </c>
      <c r="L203">
        <v>0.19722000000000001</v>
      </c>
    </row>
    <row r="204" spans="1:12" x14ac:dyDescent="0.35">
      <c r="A204" t="s">
        <v>4</v>
      </c>
      <c r="B204" t="s">
        <v>14</v>
      </c>
      <c r="C204">
        <v>3.03</v>
      </c>
      <c r="F204" t="s">
        <v>4</v>
      </c>
      <c r="G204" t="s">
        <v>5</v>
      </c>
      <c r="H204">
        <v>3.0003000000000002</v>
      </c>
      <c r="I204" t="s">
        <v>9</v>
      </c>
      <c r="K204">
        <v>5.4631999999999996</v>
      </c>
      <c r="L204">
        <v>0.18325</v>
      </c>
    </row>
    <row r="205" spans="1:12" x14ac:dyDescent="0.35">
      <c r="A205" t="s">
        <v>4</v>
      </c>
      <c r="B205" t="s">
        <v>14</v>
      </c>
      <c r="C205">
        <v>3</v>
      </c>
      <c r="F205" t="s">
        <v>4</v>
      </c>
      <c r="G205" t="s">
        <v>5</v>
      </c>
      <c r="H205">
        <v>3.0003000000000002</v>
      </c>
      <c r="I205" t="s">
        <v>9</v>
      </c>
      <c r="K205">
        <v>5.3555000000000001</v>
      </c>
      <c r="L205">
        <v>0.19297</v>
      </c>
    </row>
    <row r="206" spans="1:12" x14ac:dyDescent="0.35">
      <c r="A206" t="s">
        <v>4</v>
      </c>
      <c r="B206" t="s">
        <v>14</v>
      </c>
      <c r="C206">
        <v>2.97</v>
      </c>
      <c r="F206" t="s">
        <v>4</v>
      </c>
      <c r="G206" t="s">
        <v>5</v>
      </c>
      <c r="H206">
        <v>3.0003000000000002</v>
      </c>
      <c r="I206" t="s">
        <v>9</v>
      </c>
      <c r="K206">
        <v>5.2415000000000003</v>
      </c>
      <c r="L206">
        <v>0.19538</v>
      </c>
    </row>
    <row r="208" spans="1:12" x14ac:dyDescent="0.35">
      <c r="A208" t="s">
        <v>4</v>
      </c>
      <c r="B208" t="s">
        <v>15</v>
      </c>
      <c r="C208">
        <v>3.13</v>
      </c>
      <c r="F208" t="s">
        <v>4</v>
      </c>
      <c r="G208" t="s">
        <v>5</v>
      </c>
      <c r="H208">
        <v>3.0003000000000002</v>
      </c>
      <c r="I208" t="s">
        <v>9</v>
      </c>
      <c r="K208">
        <v>5.1905999999999999</v>
      </c>
      <c r="L208">
        <v>0.21773000000000001</v>
      </c>
    </row>
    <row r="209" spans="1:12" x14ac:dyDescent="0.35">
      <c r="A209" t="s">
        <v>4</v>
      </c>
      <c r="B209" t="s">
        <v>15</v>
      </c>
      <c r="C209">
        <v>3.1</v>
      </c>
      <c r="F209" t="s">
        <v>4</v>
      </c>
      <c r="G209" t="s">
        <v>5</v>
      </c>
      <c r="H209">
        <v>3.0003000000000002</v>
      </c>
      <c r="I209" t="s">
        <v>9</v>
      </c>
      <c r="K209">
        <v>5.2777000000000003</v>
      </c>
      <c r="L209">
        <v>0.21556</v>
      </c>
    </row>
    <row r="210" spans="1:12" x14ac:dyDescent="0.35">
      <c r="A210" t="s">
        <v>4</v>
      </c>
      <c r="B210" t="s">
        <v>15</v>
      </c>
      <c r="C210">
        <v>3.07</v>
      </c>
      <c r="F210" t="s">
        <v>4</v>
      </c>
      <c r="G210" t="s">
        <v>5</v>
      </c>
      <c r="H210">
        <v>3.0003000000000002</v>
      </c>
      <c r="I210" t="s">
        <v>9</v>
      </c>
      <c r="K210">
        <v>5.1159999999999997</v>
      </c>
      <c r="L210">
        <v>0.21945000000000001</v>
      </c>
    </row>
    <row r="211" spans="1:12" x14ac:dyDescent="0.35">
      <c r="A211" t="s">
        <v>4</v>
      </c>
      <c r="B211" t="s">
        <v>15</v>
      </c>
      <c r="C211">
        <v>3.03</v>
      </c>
      <c r="F211" t="s">
        <v>4</v>
      </c>
      <c r="G211" t="s">
        <v>5</v>
      </c>
      <c r="H211">
        <v>3.0003000000000002</v>
      </c>
      <c r="I211" t="s">
        <v>9</v>
      </c>
      <c r="K211">
        <v>5.0585000000000004</v>
      </c>
      <c r="L211">
        <v>0.23039999999999999</v>
      </c>
    </row>
    <row r="212" spans="1:12" x14ac:dyDescent="0.35">
      <c r="A212" t="s">
        <v>4</v>
      </c>
      <c r="B212" t="s">
        <v>15</v>
      </c>
      <c r="C212">
        <v>3</v>
      </c>
      <c r="F212" t="s">
        <v>4</v>
      </c>
      <c r="G212" t="s">
        <v>5</v>
      </c>
      <c r="H212">
        <v>3.0003000000000002</v>
      </c>
      <c r="I212" t="s">
        <v>9</v>
      </c>
      <c r="K212">
        <v>5.0564</v>
      </c>
      <c r="L212">
        <v>0.22228999999999999</v>
      </c>
    </row>
    <row r="213" spans="1:12" x14ac:dyDescent="0.35">
      <c r="A213" t="s">
        <v>4</v>
      </c>
      <c r="B213" t="s">
        <v>15</v>
      </c>
      <c r="C213">
        <v>2.97</v>
      </c>
      <c r="F213" t="s">
        <v>4</v>
      </c>
      <c r="G213" t="s">
        <v>5</v>
      </c>
      <c r="H213">
        <v>3.0003000000000002</v>
      </c>
      <c r="I213" t="s">
        <v>9</v>
      </c>
      <c r="K213">
        <v>4.9573999999999998</v>
      </c>
      <c r="L213">
        <v>0.20865</v>
      </c>
    </row>
    <row r="215" spans="1:12" x14ac:dyDescent="0.35">
      <c r="A215" t="s">
        <v>4</v>
      </c>
      <c r="B215" t="s">
        <v>11</v>
      </c>
      <c r="C215">
        <v>3</v>
      </c>
      <c r="D215" t="s">
        <v>13</v>
      </c>
      <c r="F215" t="s">
        <v>4</v>
      </c>
      <c r="G215" t="s">
        <v>5</v>
      </c>
      <c r="H215">
        <v>3.0003000000000002</v>
      </c>
      <c r="I215" t="s">
        <v>9</v>
      </c>
      <c r="K215">
        <v>5.4401999999999999</v>
      </c>
      <c r="L215">
        <v>0.18260000000000001</v>
      </c>
    </row>
    <row r="216" spans="1:12" x14ac:dyDescent="0.35">
      <c r="A216" t="s">
        <v>4</v>
      </c>
      <c r="B216" t="s">
        <v>11</v>
      </c>
      <c r="C216">
        <v>2.97</v>
      </c>
      <c r="D216" t="s">
        <v>13</v>
      </c>
      <c r="F216" t="s">
        <v>4</v>
      </c>
      <c r="G216" t="s">
        <v>5</v>
      </c>
      <c r="H216">
        <v>3.0003000000000002</v>
      </c>
      <c r="I216" t="s">
        <v>9</v>
      </c>
      <c r="K216">
        <v>5.1087999999999996</v>
      </c>
      <c r="L216">
        <v>0.22061</v>
      </c>
    </row>
    <row r="218" spans="1:12" x14ac:dyDescent="0.35">
      <c r="A218" t="s">
        <v>4</v>
      </c>
      <c r="B218" t="s">
        <v>10</v>
      </c>
      <c r="C218">
        <v>3.07</v>
      </c>
      <c r="D218" t="s">
        <v>9</v>
      </c>
      <c r="F218" t="s">
        <v>4</v>
      </c>
      <c r="G218" t="s">
        <v>5</v>
      </c>
      <c r="H218">
        <v>3.0003000000000002</v>
      </c>
      <c r="I218" t="s">
        <v>9</v>
      </c>
      <c r="K218">
        <v>5.1571999999999996</v>
      </c>
      <c r="L218">
        <v>0.21994</v>
      </c>
    </row>
    <row r="219" spans="1:12" x14ac:dyDescent="0.35">
      <c r="A219" t="s">
        <v>4</v>
      </c>
      <c r="B219" t="s">
        <v>10</v>
      </c>
      <c r="C219">
        <v>3.03</v>
      </c>
      <c r="D219" t="s">
        <v>9</v>
      </c>
      <c r="F219" t="s">
        <v>4</v>
      </c>
      <c r="G219" t="s">
        <v>5</v>
      </c>
      <c r="H219">
        <v>3.0003000000000002</v>
      </c>
      <c r="I219" t="s">
        <v>9</v>
      </c>
      <c r="K219">
        <v>5.0697000000000001</v>
      </c>
      <c r="L219">
        <v>0.21654999999999999</v>
      </c>
    </row>
    <row r="220" spans="1:12" x14ac:dyDescent="0.35">
      <c r="A220" t="s">
        <v>4</v>
      </c>
      <c r="B220" t="s">
        <v>10</v>
      </c>
      <c r="C220">
        <v>3</v>
      </c>
      <c r="D220" t="s">
        <v>9</v>
      </c>
      <c r="F220" t="s">
        <v>4</v>
      </c>
      <c r="G220" t="s">
        <v>5</v>
      </c>
      <c r="H220">
        <v>3.0003000000000002</v>
      </c>
      <c r="I220" t="s">
        <v>9</v>
      </c>
      <c r="K220">
        <v>4.9112</v>
      </c>
      <c r="L220">
        <v>0.20627000000000001</v>
      </c>
    </row>
    <row r="221" spans="1:12" x14ac:dyDescent="0.35">
      <c r="A221" t="s">
        <v>4</v>
      </c>
      <c r="B221" t="s">
        <v>10</v>
      </c>
      <c r="C221">
        <v>2.97</v>
      </c>
      <c r="D221" t="s">
        <v>9</v>
      </c>
      <c r="F221" t="s">
        <v>4</v>
      </c>
      <c r="G221" t="s">
        <v>5</v>
      </c>
      <c r="H221">
        <v>3.0003000000000002</v>
      </c>
      <c r="I221" t="s">
        <v>9</v>
      </c>
      <c r="K221">
        <v>4.8258999999999999</v>
      </c>
      <c r="L221">
        <v>0.22767999999999999</v>
      </c>
    </row>
  </sheetData>
  <mergeCells count="7">
    <mergeCell ref="AG1:AI1"/>
    <mergeCell ref="AJ1:AK1"/>
    <mergeCell ref="O1:Q1"/>
    <mergeCell ref="R1:T1"/>
    <mergeCell ref="U1:W1"/>
    <mergeCell ref="AA1:AC1"/>
    <mergeCell ref="AD1:AF1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Mars Orientation</vt:lpstr>
      <vt:lpstr>Venus Orientation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LeFevre Richmond</dc:creator>
  <cp:lastModifiedBy>Jonathan LeFevre Richmond</cp:lastModifiedBy>
  <dcterms:created xsi:type="dcterms:W3CDTF">2026-03-31T04:10:07Z</dcterms:created>
  <dcterms:modified xsi:type="dcterms:W3CDTF">2026-04-10T22:27:25Z</dcterms:modified>
</cp:coreProperties>
</file>