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39f3c5e877e2f/Documents/Research/PhDMATLABScripts/"/>
    </mc:Choice>
  </mc:AlternateContent>
  <xr:revisionPtr revIDLastSave="987" documentId="8_{DF437DF6-18B8-4E62-9AE0-ACF29B3AAB8F}" xr6:coauthVersionLast="47" xr6:coauthVersionMax="47" xr10:uidLastSave="{BF210A97-F2A0-4981-AA7D-3549EC7B0618}"/>
  <bookViews>
    <workbookView minimized="1" xWindow="42420" yWindow="4755" windowWidth="19200" windowHeight="9975" activeTab="1" xr2:uid="{2C49E6D5-F3A0-4A74-872B-E9D9654D0C08}"/>
  </bookViews>
  <sheets>
    <sheet name="Mars Orientation" sheetId="1" r:id="rId1"/>
    <sheet name="Venus Orien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2" l="1"/>
  <c r="W16" i="2"/>
  <c r="V16" i="2"/>
  <c r="X6" i="2"/>
  <c r="W6" i="2"/>
  <c r="V6" i="2"/>
  <c r="X10" i="2"/>
  <c r="W10" i="2"/>
  <c r="V10" i="2"/>
  <c r="X15" i="2"/>
  <c r="W15" i="2"/>
  <c r="V15" i="2"/>
  <c r="X5" i="2"/>
  <c r="W5" i="2"/>
  <c r="V5" i="2"/>
  <c r="X14" i="2"/>
  <c r="W14" i="2"/>
  <c r="V14" i="2"/>
  <c r="X9" i="2"/>
  <c r="W9" i="2"/>
  <c r="V9" i="2"/>
  <c r="X4" i="2"/>
  <c r="W4" i="2"/>
  <c r="V4" i="2"/>
  <c r="X18" i="2"/>
  <c r="W18" i="2"/>
  <c r="V18" i="2"/>
  <c r="X8" i="2"/>
  <c r="W8" i="2"/>
  <c r="V8" i="2"/>
  <c r="X12" i="2"/>
  <c r="W12" i="2"/>
  <c r="V12" i="2"/>
  <c r="X13" i="2"/>
  <c r="W13" i="2"/>
  <c r="V13" i="2"/>
  <c r="X3" i="2"/>
  <c r="W3" i="2"/>
  <c r="V3" i="2"/>
  <c r="X17" i="2"/>
  <c r="W17" i="2"/>
  <c r="V17" i="2"/>
  <c r="X7" i="2"/>
  <c r="W7" i="2"/>
  <c r="V7" i="2"/>
  <c r="X11" i="2"/>
  <c r="W11" i="2"/>
  <c r="V11" i="2"/>
  <c r="X32" i="2"/>
  <c r="W32" i="2"/>
  <c r="V32" i="2"/>
  <c r="X36" i="2"/>
  <c r="W36" i="2"/>
  <c r="V36" i="2"/>
  <c r="X22" i="2"/>
  <c r="W22" i="2"/>
  <c r="V22" i="2"/>
  <c r="X26" i="2"/>
  <c r="W26" i="2"/>
  <c r="V26" i="2"/>
  <c r="X31" i="2"/>
  <c r="W31" i="2"/>
  <c r="V31" i="2"/>
  <c r="X35" i="2"/>
  <c r="W35" i="2"/>
  <c r="V35" i="2"/>
  <c r="X21" i="2"/>
  <c r="W21" i="2"/>
  <c r="V21" i="2"/>
  <c r="X25" i="2"/>
  <c r="W25" i="2"/>
  <c r="V25" i="2"/>
  <c r="X30" i="2"/>
  <c r="W30" i="2"/>
  <c r="V30" i="2"/>
  <c r="X20" i="2"/>
  <c r="W20" i="2"/>
  <c r="V20" i="2"/>
  <c r="X34" i="2"/>
  <c r="W34" i="2"/>
  <c r="V34" i="2"/>
  <c r="X38" i="2"/>
  <c r="W38" i="2"/>
  <c r="V38" i="2"/>
  <c r="X24" i="2"/>
  <c r="W24" i="2"/>
  <c r="V24" i="2"/>
  <c r="X28" i="2"/>
  <c r="W28" i="2"/>
  <c r="V28" i="2"/>
  <c r="X29" i="2"/>
  <c r="W29" i="2"/>
  <c r="V29" i="2"/>
  <c r="X19" i="2"/>
  <c r="W19" i="2"/>
  <c r="V19" i="2"/>
  <c r="X33" i="2"/>
  <c r="W33" i="2"/>
  <c r="V33" i="2"/>
  <c r="X37" i="2"/>
  <c r="W37" i="2"/>
  <c r="V37" i="2"/>
  <c r="X23" i="2"/>
  <c r="W23" i="2"/>
  <c r="V23" i="2"/>
  <c r="X27" i="2"/>
  <c r="W27" i="2"/>
  <c r="V27" i="2"/>
  <c r="Y9" i="1"/>
  <c r="Y13" i="1"/>
  <c r="X13" i="1"/>
  <c r="W13" i="1"/>
  <c r="V13" i="1"/>
  <c r="Y5" i="1"/>
  <c r="X5" i="1"/>
  <c r="W5" i="1"/>
  <c r="V5" i="1"/>
  <c r="Y8" i="1"/>
  <c r="X8" i="1"/>
  <c r="W8" i="1"/>
  <c r="V8" i="1"/>
  <c r="Y12" i="1"/>
  <c r="X12" i="1"/>
  <c r="W12" i="1"/>
  <c r="V12" i="1"/>
  <c r="Y4" i="1"/>
  <c r="X4" i="1"/>
  <c r="W4" i="1"/>
  <c r="V4" i="1"/>
  <c r="Y15" i="1"/>
  <c r="X15" i="1"/>
  <c r="W15" i="1"/>
  <c r="V15" i="1"/>
  <c r="Y7" i="1"/>
  <c r="X7" i="1"/>
  <c r="W7" i="1"/>
  <c r="V7" i="1"/>
  <c r="Y10" i="1"/>
  <c r="X10" i="1"/>
  <c r="W10" i="1"/>
  <c r="V10" i="1"/>
  <c r="Y11" i="1"/>
  <c r="X11" i="1"/>
  <c r="W11" i="1"/>
  <c r="V11" i="1"/>
  <c r="Y3" i="1"/>
  <c r="X3" i="1"/>
  <c r="W3" i="1"/>
  <c r="V3" i="1"/>
  <c r="Y14" i="1"/>
  <c r="X14" i="1"/>
  <c r="W14" i="1"/>
  <c r="V14" i="1"/>
  <c r="Y6" i="1"/>
  <c r="X6" i="1"/>
  <c r="W6" i="1"/>
  <c r="V6" i="1"/>
  <c r="X9" i="1"/>
  <c r="W9" i="1"/>
  <c r="V9" i="1"/>
  <c r="Y26" i="1"/>
  <c r="X26" i="1"/>
  <c r="W26" i="1"/>
  <c r="V26" i="1"/>
  <c r="Y29" i="1"/>
  <c r="X29" i="1"/>
  <c r="W29" i="1"/>
  <c r="V29" i="1"/>
  <c r="Y18" i="1"/>
  <c r="X18" i="1"/>
  <c r="W18" i="1"/>
  <c r="V18" i="1"/>
  <c r="Y21" i="1"/>
  <c r="X21" i="1"/>
  <c r="W21" i="1"/>
  <c r="V21" i="1"/>
  <c r="Y25" i="1"/>
  <c r="X25" i="1"/>
  <c r="W25" i="1"/>
  <c r="V25" i="1"/>
  <c r="Y17" i="1"/>
  <c r="X17" i="1"/>
  <c r="W17" i="1"/>
  <c r="V17" i="1"/>
  <c r="Y28" i="1"/>
  <c r="X28" i="1"/>
  <c r="W28" i="1"/>
  <c r="V28" i="1"/>
  <c r="Y31" i="1"/>
  <c r="X31" i="1"/>
  <c r="W31" i="1"/>
  <c r="V31" i="1"/>
  <c r="Y20" i="1"/>
  <c r="X20" i="1"/>
  <c r="W20" i="1"/>
  <c r="V20" i="1"/>
  <c r="Y23" i="1"/>
  <c r="X23" i="1"/>
  <c r="W23" i="1"/>
  <c r="V23" i="1"/>
  <c r="Y24" i="1"/>
  <c r="X24" i="1"/>
  <c r="W24" i="1"/>
  <c r="V24" i="1"/>
  <c r="Y16" i="1"/>
  <c r="X16" i="1"/>
  <c r="W16" i="1"/>
  <c r="V16" i="1"/>
  <c r="Y27" i="1"/>
  <c r="X27" i="1"/>
  <c r="W27" i="1"/>
  <c r="V27" i="1"/>
  <c r="Y30" i="1"/>
  <c r="X30" i="1"/>
  <c r="W30" i="1"/>
  <c r="V30" i="1"/>
  <c r="Y19" i="1"/>
  <c r="X19" i="1"/>
  <c r="W19" i="1"/>
  <c r="V19" i="1"/>
  <c r="Y22" i="1"/>
  <c r="X22" i="1"/>
  <c r="W22" i="1"/>
  <c r="V22" i="1"/>
</calcChain>
</file>

<file path=xl/sharedStrings.xml><?xml version="1.0" encoding="utf-8"?>
<sst xmlns="http://schemas.openxmlformats.org/spreadsheetml/2006/main" count="2137" uniqueCount="40">
  <si>
    <t>Location</t>
  </si>
  <si>
    <t>Family</t>
  </si>
  <si>
    <t>JC</t>
  </si>
  <si>
    <t>Orientation</t>
  </si>
  <si>
    <t>L2</t>
  </si>
  <si>
    <t>Halo</t>
  </si>
  <si>
    <t>Northern</t>
  </si>
  <si>
    <t>L1</t>
  </si>
  <si>
    <t>Hypervolume</t>
  </si>
  <si>
    <t>Southern</t>
  </si>
  <si>
    <t>Butterfly</t>
  </si>
  <si>
    <t>Axial</t>
  </si>
  <si>
    <t>Northwestern</t>
  </si>
  <si>
    <t>Southwestern</t>
  </si>
  <si>
    <t>Lyapunov</t>
  </si>
  <si>
    <t>Vertical</t>
  </si>
  <si>
    <t>Normalized Mean Distance</t>
  </si>
  <si>
    <t>Departure</t>
  </si>
  <si>
    <t>Arrival</t>
  </si>
  <si>
    <t>Mean Hypervolume</t>
  </si>
  <si>
    <t>Best Mean Distance</t>
  </si>
  <si>
    <t>Best</t>
  </si>
  <si>
    <t>S-&gt;S</t>
  </si>
  <si>
    <t>S-&gt;N</t>
  </si>
  <si>
    <t>SW-&gt;S</t>
  </si>
  <si>
    <t>-&gt;N</t>
  </si>
  <si>
    <t>N-&gt;S</t>
  </si>
  <si>
    <t>N-&gt;</t>
  </si>
  <si>
    <t>S-&gt;</t>
  </si>
  <si>
    <t>NW-&gt;</t>
  </si>
  <si>
    <t>N-&gt;N</t>
  </si>
  <si>
    <t>-&gt;S</t>
  </si>
  <si>
    <t>Comparison</t>
  </si>
  <si>
    <t>Northeastern</t>
  </si>
  <si>
    <t>Southeastern</t>
  </si>
  <si>
    <t>SE-&gt;</t>
  </si>
  <si>
    <t>SE-&gt;S</t>
  </si>
  <si>
    <t>SE-&gt;N</t>
  </si>
  <si>
    <t>NW-&gt;N</t>
  </si>
  <si>
    <t>NE-&gt;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</si>
</sst>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89B6-C060-4291-9524-7F1F5E10C27A}">
  <dimension ref="A1:AK200"/>
  <sheetViews>
    <sheetView topLeftCell="E1" workbookViewId="0">
      <selection activeCell="N196" sqref="N196"/>
    </sheetView>
  </sheetViews>
  <sheetFormatPr defaultRowHeight="14.5" x14ac:dyDescent="0.35"/>
  <cols>
    <col min="4" max="4" width="12.26953125" bestFit="1" customWidth="1"/>
    <col min="9" max="9" width="10" bestFit="1" customWidth="1"/>
    <col min="11" max="11" width="11.36328125" bestFit="1" customWidth="1"/>
    <col min="12" max="12" width="22.7265625" bestFit="1" customWidth="1"/>
    <col min="21" max="21" width="10" bestFit="1" customWidth="1"/>
    <col min="22" max="22" width="11.36328125" bestFit="1" customWidth="1"/>
    <col min="23" max="23" width="22.7265625" bestFit="1" customWidth="1"/>
    <col min="24" max="24" width="16.26953125" bestFit="1" customWidth="1"/>
    <col min="25" max="25" width="17.08984375" bestFit="1" customWidth="1"/>
    <col min="33" max="33" width="10.453125" bestFit="1" customWidth="1"/>
    <col min="34" max="34" width="11.81640625" bestFit="1" customWidth="1"/>
    <col min="35" max="35" width="24" bestFit="1" customWidth="1"/>
    <col min="36" max="36" width="17.179687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K1" t="s">
        <v>8</v>
      </c>
      <c r="L1" t="s">
        <v>16</v>
      </c>
      <c r="O1" s="6" t="s">
        <v>17</v>
      </c>
      <c r="P1" s="6"/>
      <c r="Q1" s="6"/>
      <c r="R1" s="6" t="s">
        <v>18</v>
      </c>
      <c r="S1" s="6"/>
      <c r="T1" s="6"/>
      <c r="U1" s="6" t="s">
        <v>21</v>
      </c>
      <c r="V1" s="6"/>
      <c r="W1" s="6"/>
      <c r="X1" s="6" t="s">
        <v>32</v>
      </c>
      <c r="Y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x14ac:dyDescent="0.35">
      <c r="A2" t="s">
        <v>4</v>
      </c>
      <c r="B2" t="s">
        <v>5</v>
      </c>
      <c r="C2">
        <v>3.1</v>
      </c>
      <c r="D2" t="s">
        <v>6</v>
      </c>
      <c r="F2" t="s">
        <v>7</v>
      </c>
      <c r="G2" t="s">
        <v>5</v>
      </c>
      <c r="H2">
        <v>3.0001199999999999</v>
      </c>
      <c r="I2" t="s">
        <v>6</v>
      </c>
      <c r="K2">
        <v>5.0374999999999996</v>
      </c>
      <c r="L2">
        <v>0.16370000000000001</v>
      </c>
      <c r="O2" t="s">
        <v>0</v>
      </c>
      <c r="P2" t="s">
        <v>1</v>
      </c>
      <c r="Q2" t="s">
        <v>2</v>
      </c>
      <c r="R2" t="s">
        <v>0</v>
      </c>
      <c r="S2" t="s">
        <v>1</v>
      </c>
      <c r="T2" t="s">
        <v>2</v>
      </c>
      <c r="U2" t="s">
        <v>3</v>
      </c>
      <c r="V2" t="s">
        <v>8</v>
      </c>
      <c r="W2" t="s">
        <v>16</v>
      </c>
      <c r="X2" t="s">
        <v>19</v>
      </c>
      <c r="Y2" t="s">
        <v>20</v>
      </c>
    </row>
    <row r="3" spans="1:37" x14ac:dyDescent="0.35">
      <c r="A3" t="s">
        <v>4</v>
      </c>
      <c r="B3" t="s">
        <v>5</v>
      </c>
      <c r="C3">
        <v>3.1</v>
      </c>
      <c r="D3" t="s">
        <v>9</v>
      </c>
      <c r="F3" t="s">
        <v>7</v>
      </c>
      <c r="G3" t="s">
        <v>5</v>
      </c>
      <c r="H3">
        <v>3.0001199999999999</v>
      </c>
      <c r="I3" t="s">
        <v>6</v>
      </c>
      <c r="K3">
        <v>4.9259000000000004</v>
      </c>
      <c r="L3">
        <v>0.10133</v>
      </c>
      <c r="O3" s="2" t="s">
        <v>7</v>
      </c>
      <c r="P3" s="2" t="s">
        <v>14</v>
      </c>
      <c r="Q3" s="2">
        <v>3.03</v>
      </c>
      <c r="R3" s="2" t="s">
        <v>7</v>
      </c>
      <c r="S3" s="2" t="s">
        <v>5</v>
      </c>
      <c r="T3" s="2">
        <v>3.0001199999999999</v>
      </c>
      <c r="U3" s="3" t="s">
        <v>31</v>
      </c>
      <c r="V3" s="2">
        <f>K82</f>
        <v>4.7477</v>
      </c>
      <c r="W3" s="2">
        <f>L82</f>
        <v>0.13539000000000001</v>
      </c>
      <c r="X3" s="2">
        <f>AVERAGE(K81:K82)</f>
        <v>4.7241999999999997</v>
      </c>
      <c r="Y3" s="2">
        <f>MIN(L81:L82)</f>
        <v>0.13539000000000001</v>
      </c>
      <c r="AG3" s="1"/>
    </row>
    <row r="4" spans="1:37" x14ac:dyDescent="0.35">
      <c r="A4" t="s">
        <v>4</v>
      </c>
      <c r="B4" t="s">
        <v>5</v>
      </c>
      <c r="C4">
        <v>3.1</v>
      </c>
      <c r="D4" t="s">
        <v>6</v>
      </c>
      <c r="F4" t="s">
        <v>7</v>
      </c>
      <c r="G4" t="s">
        <v>5</v>
      </c>
      <c r="H4">
        <v>3.0001199999999999</v>
      </c>
      <c r="I4" t="s">
        <v>9</v>
      </c>
      <c r="K4">
        <v>4.9892000000000003</v>
      </c>
      <c r="L4">
        <v>0.16841999999999999</v>
      </c>
      <c r="O4" t="s">
        <v>7</v>
      </c>
      <c r="P4" t="s">
        <v>14</v>
      </c>
      <c r="Q4">
        <v>3.03</v>
      </c>
      <c r="R4" t="s">
        <v>4</v>
      </c>
      <c r="S4" t="s">
        <v>5</v>
      </c>
      <c r="T4">
        <v>3.00007</v>
      </c>
      <c r="U4" s="1" t="s">
        <v>31</v>
      </c>
      <c r="V4">
        <f>K103</f>
        <v>2.8180000000000001</v>
      </c>
      <c r="W4">
        <f>L103</f>
        <v>0.13852999999999999</v>
      </c>
      <c r="X4">
        <f>AVERAGE(K102:K103)</f>
        <v>2.7433000000000001</v>
      </c>
      <c r="Y4">
        <f>MIN(L102:L103)</f>
        <v>0.13852999999999999</v>
      </c>
      <c r="AG4" s="1"/>
    </row>
    <row r="5" spans="1:37" x14ac:dyDescent="0.35">
      <c r="A5" t="s">
        <v>4</v>
      </c>
      <c r="B5" t="s">
        <v>5</v>
      </c>
      <c r="C5">
        <v>3.1</v>
      </c>
      <c r="D5" t="s">
        <v>9</v>
      </c>
      <c r="F5" t="s">
        <v>7</v>
      </c>
      <c r="G5" t="s">
        <v>5</v>
      </c>
      <c r="H5">
        <v>3.0001199999999999</v>
      </c>
      <c r="I5" t="s">
        <v>9</v>
      </c>
      <c r="K5">
        <v>5.0423</v>
      </c>
      <c r="L5">
        <v>0.14513000000000001</v>
      </c>
      <c r="O5" t="s">
        <v>7</v>
      </c>
      <c r="P5" t="s">
        <v>5</v>
      </c>
      <c r="Q5">
        <v>3.03</v>
      </c>
      <c r="R5" t="s">
        <v>7</v>
      </c>
      <c r="S5" t="s">
        <v>14</v>
      </c>
      <c r="T5">
        <v>3.0001000000000002</v>
      </c>
      <c r="U5" t="s">
        <v>28</v>
      </c>
      <c r="V5">
        <f>K112</f>
        <v>4.5510000000000002</v>
      </c>
      <c r="W5">
        <f>L112</f>
        <v>0.25252999999999998</v>
      </c>
      <c r="X5">
        <f>AVERAGE(K111:K112)</f>
        <v>4.5336499999999997</v>
      </c>
      <c r="Y5">
        <f>MIN(L111:L112)</f>
        <v>0.25252999999999998</v>
      </c>
    </row>
    <row r="6" spans="1:37" x14ac:dyDescent="0.35">
      <c r="O6" t="s">
        <v>7</v>
      </c>
      <c r="P6" t="s">
        <v>5</v>
      </c>
      <c r="Q6">
        <v>3.03</v>
      </c>
      <c r="R6" t="s">
        <v>7</v>
      </c>
      <c r="S6" t="s">
        <v>5</v>
      </c>
      <c r="T6">
        <v>3.0001199999999999</v>
      </c>
      <c r="U6" t="s">
        <v>30</v>
      </c>
      <c r="V6">
        <f>K71</f>
        <v>4.5574000000000003</v>
      </c>
      <c r="W6">
        <f>L71</f>
        <v>0.12823999999999999</v>
      </c>
      <c r="X6">
        <f>AVERAGE(K71:K74)</f>
        <v>4.4937249999999995</v>
      </c>
      <c r="Y6">
        <f>MIN(L71:L74)</f>
        <v>0.12823999999999999</v>
      </c>
    </row>
    <row r="7" spans="1:37" x14ac:dyDescent="0.35">
      <c r="A7" t="s">
        <v>4</v>
      </c>
      <c r="B7" t="s">
        <v>5</v>
      </c>
      <c r="C7">
        <v>3.03</v>
      </c>
      <c r="D7" t="s">
        <v>6</v>
      </c>
      <c r="F7" t="s">
        <v>7</v>
      </c>
      <c r="G7" t="s">
        <v>5</v>
      </c>
      <c r="H7">
        <v>3.0001199999999999</v>
      </c>
      <c r="I7" t="s">
        <v>6</v>
      </c>
      <c r="K7">
        <v>4.8818000000000001</v>
      </c>
      <c r="L7">
        <v>0.18032999999999999</v>
      </c>
      <c r="O7" t="s">
        <v>7</v>
      </c>
      <c r="P7" t="s">
        <v>5</v>
      </c>
      <c r="Q7">
        <v>3.03</v>
      </c>
      <c r="R7" t="s">
        <v>4</v>
      </c>
      <c r="S7" t="s">
        <v>5</v>
      </c>
      <c r="T7">
        <v>3.00007</v>
      </c>
      <c r="U7" t="s">
        <v>26</v>
      </c>
      <c r="V7">
        <f>K94</f>
        <v>2.5589</v>
      </c>
      <c r="W7">
        <f>L94</f>
        <v>0.23338</v>
      </c>
      <c r="X7">
        <f>AVERAGE(K92:K95)</f>
        <v>2.5109249999999999</v>
      </c>
      <c r="Y7">
        <f>MIN(L92:L95)</f>
        <v>0.13915</v>
      </c>
    </row>
    <row r="8" spans="1:37" x14ac:dyDescent="0.35">
      <c r="A8" t="s">
        <v>4</v>
      </c>
      <c r="B8" t="s">
        <v>5</v>
      </c>
      <c r="C8">
        <v>3.03</v>
      </c>
      <c r="D8" t="s">
        <v>9</v>
      </c>
      <c r="F8" t="s">
        <v>7</v>
      </c>
      <c r="G8" t="s">
        <v>5</v>
      </c>
      <c r="H8">
        <v>3.0001199999999999</v>
      </c>
      <c r="I8" t="s">
        <v>6</v>
      </c>
      <c r="K8">
        <v>4.8579999999999997</v>
      </c>
      <c r="L8">
        <v>0.2031</v>
      </c>
      <c r="O8" t="s">
        <v>7</v>
      </c>
      <c r="P8" t="s">
        <v>5</v>
      </c>
      <c r="Q8">
        <v>3.1</v>
      </c>
      <c r="R8" t="s">
        <v>7</v>
      </c>
      <c r="S8" t="s">
        <v>14</v>
      </c>
      <c r="T8">
        <v>3.0001000000000002</v>
      </c>
      <c r="U8" t="s">
        <v>27</v>
      </c>
      <c r="V8">
        <f>K108</f>
        <v>4.6521999999999997</v>
      </c>
      <c r="W8">
        <f>L108</f>
        <v>0.23563999999999999</v>
      </c>
      <c r="X8">
        <f>AVERAGE(K108:K109)</f>
        <v>4.5869999999999997</v>
      </c>
      <c r="Y8">
        <f>MIN(L108:L109)</f>
        <v>0.20133000000000001</v>
      </c>
    </row>
    <row r="9" spans="1:37" x14ac:dyDescent="0.35">
      <c r="A9" t="s">
        <v>4</v>
      </c>
      <c r="B9" t="s">
        <v>5</v>
      </c>
      <c r="C9">
        <v>3.03</v>
      </c>
      <c r="D9" t="s">
        <v>6</v>
      </c>
      <c r="F9" t="s">
        <v>7</v>
      </c>
      <c r="G9" t="s">
        <v>5</v>
      </c>
      <c r="H9">
        <v>3.0001199999999999</v>
      </c>
      <c r="I9" t="s">
        <v>9</v>
      </c>
      <c r="K9">
        <v>4.8895999999999997</v>
      </c>
      <c r="L9">
        <v>0.19095000000000001</v>
      </c>
      <c r="O9" s="2" t="s">
        <v>7</v>
      </c>
      <c r="P9" s="2" t="s">
        <v>5</v>
      </c>
      <c r="Q9" s="2">
        <v>3.1</v>
      </c>
      <c r="R9" s="2" t="s">
        <v>7</v>
      </c>
      <c r="S9" s="2" t="s">
        <v>5</v>
      </c>
      <c r="T9" s="2">
        <v>3.0001199999999999</v>
      </c>
      <c r="U9" s="2" t="s">
        <v>22</v>
      </c>
      <c r="V9" s="2">
        <f>K69</f>
        <v>4.6929999999999996</v>
      </c>
      <c r="W9" s="2">
        <f>L69</f>
        <v>0.22266</v>
      </c>
      <c r="X9" s="2">
        <f>AVERAGE(K66:K69)</f>
        <v>4.6005000000000003</v>
      </c>
      <c r="Y9" s="2">
        <f>MIN(L66:L69)</f>
        <v>0.15126000000000001</v>
      </c>
    </row>
    <row r="10" spans="1:37" x14ac:dyDescent="0.35">
      <c r="A10" t="s">
        <v>4</v>
      </c>
      <c r="B10" t="s">
        <v>5</v>
      </c>
      <c r="C10">
        <v>3.03</v>
      </c>
      <c r="D10" t="s">
        <v>9</v>
      </c>
      <c r="F10" t="s">
        <v>7</v>
      </c>
      <c r="G10" t="s">
        <v>5</v>
      </c>
      <c r="H10">
        <v>3.0001199999999999</v>
      </c>
      <c r="I10" t="s">
        <v>9</v>
      </c>
      <c r="K10">
        <v>5.0427999999999997</v>
      </c>
      <c r="L10">
        <v>0.16897999999999999</v>
      </c>
      <c r="O10" s="2" t="s">
        <v>7</v>
      </c>
      <c r="P10" s="2" t="s">
        <v>5</v>
      </c>
      <c r="Q10" s="2">
        <v>3.1</v>
      </c>
      <c r="R10" s="2" t="s">
        <v>4</v>
      </c>
      <c r="S10" s="2" t="s">
        <v>5</v>
      </c>
      <c r="T10" s="2">
        <v>3.00007</v>
      </c>
      <c r="U10" s="2" t="s">
        <v>23</v>
      </c>
      <c r="V10" s="2">
        <f>K88</f>
        <v>2.6896</v>
      </c>
      <c r="W10" s="2">
        <f>L88</f>
        <v>0.12984000000000001</v>
      </c>
      <c r="X10" s="2">
        <f>AVERAGE(K87:K90)</f>
        <v>2.6514999999999995</v>
      </c>
      <c r="Y10" s="2">
        <f>MIN(L87:L90)</f>
        <v>0.12984000000000001</v>
      </c>
    </row>
    <row r="11" spans="1:37" x14ac:dyDescent="0.35">
      <c r="O11" s="2" t="s">
        <v>7</v>
      </c>
      <c r="P11" s="2" t="s">
        <v>15</v>
      </c>
      <c r="Q11" s="2">
        <v>3.03</v>
      </c>
      <c r="R11" s="2" t="s">
        <v>7</v>
      </c>
      <c r="S11" s="2" t="s">
        <v>5</v>
      </c>
      <c r="T11" s="2">
        <v>3.0001199999999999</v>
      </c>
      <c r="U11" s="3" t="s">
        <v>25</v>
      </c>
      <c r="V11" s="2">
        <f>K84</f>
        <v>4.8242000000000003</v>
      </c>
      <c r="W11" s="2">
        <f>L84</f>
        <v>0.13747000000000001</v>
      </c>
      <c r="X11" s="2">
        <f>AVERAGE(K84:K85)</f>
        <v>4.7378999999999998</v>
      </c>
      <c r="Y11" s="2">
        <f>MIN(L84:L85)</f>
        <v>0.13747000000000001</v>
      </c>
      <c r="AG11" s="1"/>
    </row>
    <row r="12" spans="1:37" x14ac:dyDescent="0.35">
      <c r="A12" t="s">
        <v>4</v>
      </c>
      <c r="B12" t="s">
        <v>10</v>
      </c>
      <c r="C12">
        <v>3.03</v>
      </c>
      <c r="D12" t="s">
        <v>6</v>
      </c>
      <c r="F12" t="s">
        <v>7</v>
      </c>
      <c r="G12" t="s">
        <v>5</v>
      </c>
      <c r="H12">
        <v>3.0001199999999999</v>
      </c>
      <c r="I12" t="s">
        <v>6</v>
      </c>
      <c r="K12">
        <v>4.4382000000000001</v>
      </c>
      <c r="L12">
        <v>0.25918999999999998</v>
      </c>
      <c r="O12" t="s">
        <v>7</v>
      </c>
      <c r="P12" t="s">
        <v>15</v>
      </c>
      <c r="Q12">
        <v>3.03</v>
      </c>
      <c r="R12" t="s">
        <v>4</v>
      </c>
      <c r="S12" t="s">
        <v>5</v>
      </c>
      <c r="T12">
        <v>3.00007</v>
      </c>
      <c r="U12" s="1" t="s">
        <v>25</v>
      </c>
      <c r="V12">
        <f>K105</f>
        <v>2.7296999999999998</v>
      </c>
      <c r="W12">
        <f>L105</f>
        <v>0.13136</v>
      </c>
      <c r="X12">
        <f>AVERAGE(K105:K106)</f>
        <v>2.6313499999999999</v>
      </c>
      <c r="Y12">
        <f>MIN(L105:L106)</f>
        <v>0.13136</v>
      </c>
      <c r="AG12" s="1"/>
    </row>
    <row r="13" spans="1:37" x14ac:dyDescent="0.35">
      <c r="A13" t="s">
        <v>4</v>
      </c>
      <c r="B13" t="s">
        <v>10</v>
      </c>
      <c r="C13">
        <v>3.03</v>
      </c>
      <c r="D13" t="s">
        <v>9</v>
      </c>
      <c r="F13" t="s">
        <v>7</v>
      </c>
      <c r="G13" t="s">
        <v>5</v>
      </c>
      <c r="H13">
        <v>3.0001199999999999</v>
      </c>
      <c r="I13" t="s">
        <v>6</v>
      </c>
      <c r="K13">
        <v>4.5444000000000004</v>
      </c>
      <c r="L13">
        <v>0.13295000000000001</v>
      </c>
      <c r="O13" t="s">
        <v>7</v>
      </c>
      <c r="P13" t="s">
        <v>11</v>
      </c>
      <c r="Q13">
        <v>3</v>
      </c>
      <c r="R13" t="s">
        <v>7</v>
      </c>
      <c r="S13" t="s">
        <v>14</v>
      </c>
      <c r="T13">
        <v>3.0001000000000002</v>
      </c>
      <c r="U13" t="s">
        <v>35</v>
      </c>
      <c r="V13">
        <f>K115</f>
        <v>4.6368</v>
      </c>
      <c r="W13">
        <f>L115</f>
        <v>0.22561</v>
      </c>
      <c r="X13">
        <f>AVERAGE(K114:K115)</f>
        <v>4.6002999999999998</v>
      </c>
      <c r="Y13">
        <f>MIN(L114:L115)</f>
        <v>0.10254000000000001</v>
      </c>
    </row>
    <row r="14" spans="1:37" x14ac:dyDescent="0.35">
      <c r="A14" t="s">
        <v>4</v>
      </c>
      <c r="B14" t="s">
        <v>10</v>
      </c>
      <c r="C14">
        <v>3.03</v>
      </c>
      <c r="D14" t="s">
        <v>6</v>
      </c>
      <c r="F14" t="s">
        <v>7</v>
      </c>
      <c r="G14" t="s">
        <v>5</v>
      </c>
      <c r="H14">
        <v>3.0001199999999999</v>
      </c>
      <c r="I14" t="s">
        <v>9</v>
      </c>
      <c r="K14">
        <v>4.4010999999999996</v>
      </c>
      <c r="L14">
        <v>0.21668000000000001</v>
      </c>
      <c r="O14" s="2" t="s">
        <v>7</v>
      </c>
      <c r="P14" s="2" t="s">
        <v>11</v>
      </c>
      <c r="Q14" s="2">
        <v>3</v>
      </c>
      <c r="R14" s="2" t="s">
        <v>7</v>
      </c>
      <c r="S14" s="2" t="s">
        <v>5</v>
      </c>
      <c r="T14" s="2">
        <v>3.0001199999999999</v>
      </c>
      <c r="U14" s="2" t="s">
        <v>36</v>
      </c>
      <c r="V14" s="2">
        <f>K79</f>
        <v>4.7488999999999999</v>
      </c>
      <c r="W14" s="2">
        <f>L79</f>
        <v>0.14174999999999999</v>
      </c>
      <c r="X14" s="2">
        <f>AVERAGE(K76:K79)</f>
        <v>4.6583249999999996</v>
      </c>
      <c r="Y14" s="2">
        <f>MIN(L76:L79)</f>
        <v>9.8185999999999996E-2</v>
      </c>
    </row>
    <row r="15" spans="1:37" x14ac:dyDescent="0.35">
      <c r="A15" t="s">
        <v>4</v>
      </c>
      <c r="B15" t="s">
        <v>10</v>
      </c>
      <c r="C15">
        <v>3.03</v>
      </c>
      <c r="D15" t="s">
        <v>9</v>
      </c>
      <c r="F15" t="s">
        <v>7</v>
      </c>
      <c r="G15" t="s">
        <v>5</v>
      </c>
      <c r="H15">
        <v>3.0001199999999999</v>
      </c>
      <c r="I15" t="s">
        <v>9</v>
      </c>
      <c r="K15">
        <v>4.4846000000000004</v>
      </c>
      <c r="L15">
        <v>0.23255000000000001</v>
      </c>
      <c r="O15" t="s">
        <v>7</v>
      </c>
      <c r="P15" t="s">
        <v>11</v>
      </c>
      <c r="Q15">
        <v>3</v>
      </c>
      <c r="R15" t="s">
        <v>4</v>
      </c>
      <c r="S15" t="s">
        <v>5</v>
      </c>
      <c r="T15">
        <v>3.00007</v>
      </c>
      <c r="U15" t="s">
        <v>37</v>
      </c>
      <c r="V15">
        <f>K98</f>
        <v>2.726</v>
      </c>
      <c r="W15">
        <f>L98</f>
        <v>0.20427999999999999</v>
      </c>
      <c r="X15">
        <f>AVERAGE(K97:K100)</f>
        <v>2.6487999999999996</v>
      </c>
      <c r="Y15">
        <f>MIN(L97:L100)</f>
        <v>0.1047</v>
      </c>
    </row>
    <row r="16" spans="1:37" x14ac:dyDescent="0.35">
      <c r="O16" s="4" t="s">
        <v>4</v>
      </c>
      <c r="P16" s="4" t="s">
        <v>14</v>
      </c>
      <c r="Q16" s="4">
        <v>3.03</v>
      </c>
      <c r="R16" s="4" t="s">
        <v>7</v>
      </c>
      <c r="S16" s="4" t="s">
        <v>5</v>
      </c>
      <c r="T16" s="4">
        <v>3.0001199999999999</v>
      </c>
      <c r="U16" s="5" t="s">
        <v>25</v>
      </c>
      <c r="V16" s="4">
        <f>K22</f>
        <v>5.0659000000000001</v>
      </c>
      <c r="W16" s="4">
        <f>L22</f>
        <v>0.14595</v>
      </c>
      <c r="X16" s="4">
        <f>AVERAGE(K22:K23)</f>
        <v>5.0327999999999999</v>
      </c>
      <c r="Y16" s="4">
        <f>MIN(L22:L23)</f>
        <v>0.11033999999999999</v>
      </c>
      <c r="AG16" s="1"/>
    </row>
    <row r="17" spans="1:33" x14ac:dyDescent="0.35">
      <c r="A17" t="s">
        <v>4</v>
      </c>
      <c r="B17" t="s">
        <v>11</v>
      </c>
      <c r="C17">
        <v>3</v>
      </c>
      <c r="D17" t="s">
        <v>12</v>
      </c>
      <c r="F17" t="s">
        <v>7</v>
      </c>
      <c r="G17" t="s">
        <v>5</v>
      </c>
      <c r="H17">
        <v>3.0001199999999999</v>
      </c>
      <c r="I17" t="s">
        <v>6</v>
      </c>
      <c r="K17">
        <v>4.7619999999999996</v>
      </c>
      <c r="L17">
        <v>0.17416000000000001</v>
      </c>
      <c r="O17" t="s">
        <v>4</v>
      </c>
      <c r="P17" t="s">
        <v>14</v>
      </c>
      <c r="Q17">
        <v>3.03</v>
      </c>
      <c r="R17" t="s">
        <v>4</v>
      </c>
      <c r="S17" t="s">
        <v>5</v>
      </c>
      <c r="T17">
        <v>3.00007</v>
      </c>
      <c r="U17" s="1" t="s">
        <v>25</v>
      </c>
      <c r="V17">
        <f>K48</f>
        <v>2.9173</v>
      </c>
      <c r="W17">
        <f>L48</f>
        <v>0.16868</v>
      </c>
      <c r="X17">
        <f>AVERAGE(K48:K49)</f>
        <v>2.9066999999999998</v>
      </c>
      <c r="Y17">
        <f>MIN(L48:L49)</f>
        <v>0.11763</v>
      </c>
      <c r="AG17" s="1"/>
    </row>
    <row r="18" spans="1:33" x14ac:dyDescent="0.35">
      <c r="A18" t="s">
        <v>4</v>
      </c>
      <c r="B18" t="s">
        <v>11</v>
      </c>
      <c r="C18">
        <v>3</v>
      </c>
      <c r="D18" t="s">
        <v>13</v>
      </c>
      <c r="F18" t="s">
        <v>7</v>
      </c>
      <c r="G18" t="s">
        <v>5</v>
      </c>
      <c r="H18">
        <v>3.0001199999999999</v>
      </c>
      <c r="I18" t="s">
        <v>6</v>
      </c>
      <c r="K18">
        <v>4.6829000000000001</v>
      </c>
      <c r="L18">
        <v>0.16411000000000001</v>
      </c>
      <c r="O18" t="s">
        <v>4</v>
      </c>
      <c r="P18" t="s">
        <v>5</v>
      </c>
      <c r="Q18">
        <v>3.03</v>
      </c>
      <c r="R18" t="s">
        <v>7</v>
      </c>
      <c r="S18" t="s">
        <v>14</v>
      </c>
      <c r="T18">
        <v>3.0001000000000002</v>
      </c>
      <c r="U18" t="s">
        <v>28</v>
      </c>
      <c r="V18">
        <f>K58</f>
        <v>4.8888999999999996</v>
      </c>
      <c r="W18">
        <f>L58</f>
        <v>0.16137000000000001</v>
      </c>
      <c r="X18">
        <f>AVERAGE(K57:K58)</f>
        <v>4.8150999999999993</v>
      </c>
      <c r="Y18">
        <f>MIN(L57:L58)</f>
        <v>0.16137000000000001</v>
      </c>
    </row>
    <row r="19" spans="1:33" x14ac:dyDescent="0.35">
      <c r="A19" t="s">
        <v>4</v>
      </c>
      <c r="B19" t="s">
        <v>11</v>
      </c>
      <c r="C19">
        <v>3</v>
      </c>
      <c r="D19" t="s">
        <v>12</v>
      </c>
      <c r="F19" t="s">
        <v>7</v>
      </c>
      <c r="G19" t="s">
        <v>5</v>
      </c>
      <c r="H19">
        <v>3.0001199999999999</v>
      </c>
      <c r="I19" t="s">
        <v>9</v>
      </c>
      <c r="K19">
        <v>4.8497000000000003</v>
      </c>
      <c r="L19">
        <v>9.4529000000000002E-2</v>
      </c>
      <c r="O19" t="s">
        <v>4</v>
      </c>
      <c r="P19" t="s">
        <v>5</v>
      </c>
      <c r="Q19">
        <v>3.03</v>
      </c>
      <c r="R19" t="s">
        <v>7</v>
      </c>
      <c r="S19" t="s">
        <v>5</v>
      </c>
      <c r="T19">
        <v>3.0001199999999999</v>
      </c>
      <c r="U19" t="s">
        <v>22</v>
      </c>
      <c r="V19">
        <f>K10</f>
        <v>5.0427999999999997</v>
      </c>
      <c r="W19">
        <f>L10</f>
        <v>0.16897999999999999</v>
      </c>
      <c r="X19">
        <f>AVERAGE(K7:K10)</f>
        <v>4.9180499999999991</v>
      </c>
      <c r="Y19">
        <f>MIN(L7:L10)</f>
        <v>0.16897999999999999</v>
      </c>
    </row>
    <row r="20" spans="1:33" x14ac:dyDescent="0.35">
      <c r="A20" t="s">
        <v>4</v>
      </c>
      <c r="B20" t="s">
        <v>11</v>
      </c>
      <c r="C20">
        <v>3</v>
      </c>
      <c r="D20" t="s">
        <v>13</v>
      </c>
      <c r="F20" t="s">
        <v>7</v>
      </c>
      <c r="G20" t="s">
        <v>5</v>
      </c>
      <c r="H20">
        <v>3.0001199999999999</v>
      </c>
      <c r="I20" t="s">
        <v>9</v>
      </c>
      <c r="K20">
        <v>5.0560999999999998</v>
      </c>
      <c r="L20">
        <v>0.15501000000000001</v>
      </c>
      <c r="O20" t="s">
        <v>4</v>
      </c>
      <c r="P20" t="s">
        <v>5</v>
      </c>
      <c r="Q20">
        <v>3.03</v>
      </c>
      <c r="R20" t="s">
        <v>4</v>
      </c>
      <c r="S20" t="s">
        <v>5</v>
      </c>
      <c r="T20">
        <v>3.00007</v>
      </c>
      <c r="U20" t="s">
        <v>22</v>
      </c>
      <c r="V20">
        <f>K36</f>
        <v>2.8672</v>
      </c>
      <c r="W20">
        <f>L36</f>
        <v>0.15620999999999999</v>
      </c>
      <c r="X20">
        <f>AVERAGE(K33:K36)</f>
        <v>2.8161750000000003</v>
      </c>
      <c r="Y20">
        <f>MIN(L33:L36)</f>
        <v>0.14516999999999999</v>
      </c>
    </row>
    <row r="21" spans="1:33" x14ac:dyDescent="0.35">
      <c r="O21" t="s">
        <v>4</v>
      </c>
      <c r="P21" t="s">
        <v>5</v>
      </c>
      <c r="Q21">
        <v>3.1</v>
      </c>
      <c r="R21" t="s">
        <v>7</v>
      </c>
      <c r="S21" t="s">
        <v>14</v>
      </c>
      <c r="T21">
        <v>3.0001000000000002</v>
      </c>
      <c r="U21" t="s">
        <v>27</v>
      </c>
      <c r="V21">
        <f>K54</f>
        <v>4.9790999999999999</v>
      </c>
      <c r="W21">
        <f>L54</f>
        <v>0.18819</v>
      </c>
      <c r="X21">
        <f>AVERAGE(K54:K55)</f>
        <v>4.9663000000000004</v>
      </c>
      <c r="Y21">
        <f>MIN(L54:L55)</f>
        <v>0.16019</v>
      </c>
    </row>
    <row r="22" spans="1:33" x14ac:dyDescent="0.35">
      <c r="A22" t="s">
        <v>4</v>
      </c>
      <c r="B22" t="s">
        <v>14</v>
      </c>
      <c r="C22">
        <v>3.03</v>
      </c>
      <c r="F22" t="s">
        <v>7</v>
      </c>
      <c r="G22" t="s">
        <v>5</v>
      </c>
      <c r="H22">
        <v>3.0001199999999999</v>
      </c>
      <c r="I22" t="s">
        <v>6</v>
      </c>
      <c r="K22">
        <v>5.0659000000000001</v>
      </c>
      <c r="L22">
        <v>0.14595</v>
      </c>
      <c r="O22" s="2" t="s">
        <v>4</v>
      </c>
      <c r="P22" s="2" t="s">
        <v>5</v>
      </c>
      <c r="Q22" s="2">
        <v>3.1</v>
      </c>
      <c r="R22" s="2" t="s">
        <v>7</v>
      </c>
      <c r="S22" s="2" t="s">
        <v>5</v>
      </c>
      <c r="T22" s="2">
        <v>3.0001199999999999</v>
      </c>
      <c r="U22" s="2" t="s">
        <v>22</v>
      </c>
      <c r="V22" s="2">
        <f>K5</f>
        <v>5.0423</v>
      </c>
      <c r="W22" s="2">
        <f>L5</f>
        <v>0.14513000000000001</v>
      </c>
      <c r="X22" s="2">
        <f>AVERAGE(K2:K5)</f>
        <v>4.9987250000000003</v>
      </c>
      <c r="Y22" s="2">
        <f>MIN(L2:L5)</f>
        <v>0.10133</v>
      </c>
    </row>
    <row r="23" spans="1:33" x14ac:dyDescent="0.35">
      <c r="A23" t="s">
        <v>4</v>
      </c>
      <c r="B23" t="s">
        <v>14</v>
      </c>
      <c r="C23">
        <v>3.03</v>
      </c>
      <c r="F23" t="s">
        <v>7</v>
      </c>
      <c r="G23" t="s">
        <v>5</v>
      </c>
      <c r="H23">
        <v>3.0001199999999999</v>
      </c>
      <c r="I23" t="s">
        <v>9</v>
      </c>
      <c r="K23">
        <v>4.9996999999999998</v>
      </c>
      <c r="L23">
        <v>0.11033999999999999</v>
      </c>
      <c r="O23" s="2" t="s">
        <v>4</v>
      </c>
      <c r="P23" s="2" t="s">
        <v>5</v>
      </c>
      <c r="Q23" s="2">
        <v>3.1</v>
      </c>
      <c r="R23" s="2" t="s">
        <v>4</v>
      </c>
      <c r="S23" s="2" t="s">
        <v>5</v>
      </c>
      <c r="T23" s="2">
        <v>3.00007</v>
      </c>
      <c r="U23" s="2" t="s">
        <v>26</v>
      </c>
      <c r="V23" s="2">
        <f>K30</f>
        <v>2.9420999999999999</v>
      </c>
      <c r="W23" s="2">
        <f>L30</f>
        <v>0.11565</v>
      </c>
      <c r="X23" s="2">
        <f>AVERAGE(K28:K31)</f>
        <v>2.8887749999999999</v>
      </c>
      <c r="Y23" s="2">
        <f>MIN(L28:L31)</f>
        <v>0.10417</v>
      </c>
    </row>
    <row r="24" spans="1:33" x14ac:dyDescent="0.35">
      <c r="O24" s="2" t="s">
        <v>4</v>
      </c>
      <c r="P24" s="2" t="s">
        <v>15</v>
      </c>
      <c r="Q24" s="2">
        <v>3.03</v>
      </c>
      <c r="R24" s="2" t="s">
        <v>7</v>
      </c>
      <c r="S24" s="2" t="s">
        <v>5</v>
      </c>
      <c r="T24" s="2">
        <v>3.0001199999999999</v>
      </c>
      <c r="U24" s="3" t="s">
        <v>25</v>
      </c>
      <c r="V24" s="2">
        <f>K25</f>
        <v>4.6230000000000002</v>
      </c>
      <c r="W24" s="2">
        <f>L25</f>
        <v>0.1643</v>
      </c>
      <c r="X24" s="2">
        <f>AVERAGE(K25:K26)</f>
        <v>4.5923499999999997</v>
      </c>
      <c r="Y24" s="2">
        <f>MIN(L25:L26)</f>
        <v>8.4972000000000006E-2</v>
      </c>
      <c r="AG24" s="1"/>
    </row>
    <row r="25" spans="1:33" x14ac:dyDescent="0.35">
      <c r="A25" t="s">
        <v>4</v>
      </c>
      <c r="B25" t="s">
        <v>15</v>
      </c>
      <c r="C25">
        <v>3.03</v>
      </c>
      <c r="F25" t="s">
        <v>7</v>
      </c>
      <c r="G25" t="s">
        <v>5</v>
      </c>
      <c r="H25">
        <v>3.0001199999999999</v>
      </c>
      <c r="I25" t="s">
        <v>6</v>
      </c>
      <c r="K25">
        <v>4.6230000000000002</v>
      </c>
      <c r="L25">
        <v>0.1643</v>
      </c>
      <c r="O25" t="s">
        <v>4</v>
      </c>
      <c r="P25" t="s">
        <v>15</v>
      </c>
      <c r="Q25">
        <v>3.03</v>
      </c>
      <c r="R25" t="s">
        <v>4</v>
      </c>
      <c r="S25" t="s">
        <v>5</v>
      </c>
      <c r="T25">
        <v>3.00007</v>
      </c>
      <c r="U25" s="1" t="s">
        <v>25</v>
      </c>
      <c r="V25">
        <f>K51</f>
        <v>2.6133999999999999</v>
      </c>
      <c r="W25">
        <f>L51</f>
        <v>0.18079999999999999</v>
      </c>
      <c r="X25">
        <f>AVERAGE(K51:K52)</f>
        <v>2.5853999999999999</v>
      </c>
      <c r="Y25">
        <f>MIN(L51:L52)</f>
        <v>0.1014</v>
      </c>
      <c r="AG25" s="1"/>
    </row>
    <row r="26" spans="1:33" x14ac:dyDescent="0.35">
      <c r="A26" t="s">
        <v>4</v>
      </c>
      <c r="B26" t="s">
        <v>15</v>
      </c>
      <c r="C26">
        <v>3.03</v>
      </c>
      <c r="F26" t="s">
        <v>7</v>
      </c>
      <c r="G26" t="s">
        <v>5</v>
      </c>
      <c r="H26">
        <v>3.0001199999999999</v>
      </c>
      <c r="I26" t="s">
        <v>9</v>
      </c>
      <c r="K26">
        <v>4.5617000000000001</v>
      </c>
      <c r="L26">
        <v>8.4972000000000006E-2</v>
      </c>
      <c r="O26" t="s">
        <v>4</v>
      </c>
      <c r="P26" t="s">
        <v>11</v>
      </c>
      <c r="Q26">
        <v>3</v>
      </c>
      <c r="R26" t="s">
        <v>7</v>
      </c>
      <c r="S26" t="s">
        <v>14</v>
      </c>
      <c r="T26">
        <v>3.0001000000000002</v>
      </c>
      <c r="U26" t="s">
        <v>29</v>
      </c>
      <c r="V26">
        <f>K63</f>
        <v>5.0407999999999999</v>
      </c>
      <c r="W26">
        <f>L63</f>
        <v>0.12686</v>
      </c>
      <c r="X26">
        <f>AVERAGE(K63:K64)</f>
        <v>4.9826999999999995</v>
      </c>
      <c r="Y26">
        <f>MIN(L63:L64)</f>
        <v>0.12686</v>
      </c>
    </row>
    <row r="27" spans="1:33" x14ac:dyDescent="0.35">
      <c r="O27" s="2" t="s">
        <v>4</v>
      </c>
      <c r="P27" s="2" t="s">
        <v>11</v>
      </c>
      <c r="Q27" s="2">
        <v>3</v>
      </c>
      <c r="R27" s="2" t="s">
        <v>7</v>
      </c>
      <c r="S27" s="2" t="s">
        <v>5</v>
      </c>
      <c r="T27" s="2">
        <v>3.0001199999999999</v>
      </c>
      <c r="U27" s="2" t="s">
        <v>24</v>
      </c>
      <c r="V27" s="2">
        <f>K20</f>
        <v>5.0560999999999998</v>
      </c>
      <c r="W27" s="2">
        <f>L20</f>
        <v>0.15501000000000001</v>
      </c>
      <c r="X27" s="2">
        <f>AVERAGE(K17:K20)</f>
        <v>4.8376749999999999</v>
      </c>
      <c r="Y27" s="2">
        <f>MIN(L17:L20)</f>
        <v>9.4529000000000002E-2</v>
      </c>
    </row>
    <row r="28" spans="1:33" x14ac:dyDescent="0.35">
      <c r="A28" t="s">
        <v>4</v>
      </c>
      <c r="B28" t="s">
        <v>5</v>
      </c>
      <c r="C28">
        <v>3.1</v>
      </c>
      <c r="D28" t="s">
        <v>6</v>
      </c>
      <c r="F28" t="s">
        <v>4</v>
      </c>
      <c r="G28" t="s">
        <v>5</v>
      </c>
      <c r="H28">
        <v>3.00007</v>
      </c>
      <c r="I28" t="s">
        <v>6</v>
      </c>
      <c r="K28">
        <v>2.8957000000000002</v>
      </c>
      <c r="L28">
        <v>0.14804999999999999</v>
      </c>
      <c r="O28" t="s">
        <v>4</v>
      </c>
      <c r="P28" t="s">
        <v>11</v>
      </c>
      <c r="Q28">
        <v>3</v>
      </c>
      <c r="R28" t="s">
        <v>4</v>
      </c>
      <c r="S28" t="s">
        <v>5</v>
      </c>
      <c r="T28">
        <v>3.00007</v>
      </c>
      <c r="U28" t="s">
        <v>24</v>
      </c>
      <c r="V28">
        <f>K46</f>
        <v>2.9150999999999998</v>
      </c>
      <c r="W28">
        <f>L46</f>
        <v>0.14591999999999999</v>
      </c>
      <c r="X28">
        <f>AVERAGE(K43:K46)</f>
        <v>2.8403999999999998</v>
      </c>
      <c r="Y28">
        <f>MIN(L43:L46)</f>
        <v>0.10631</v>
      </c>
    </row>
    <row r="29" spans="1:33" x14ac:dyDescent="0.35">
      <c r="A29" t="s">
        <v>4</v>
      </c>
      <c r="B29" t="s">
        <v>5</v>
      </c>
      <c r="C29">
        <v>3.1</v>
      </c>
      <c r="D29" t="s">
        <v>9</v>
      </c>
      <c r="F29" t="s">
        <v>4</v>
      </c>
      <c r="G29" t="s">
        <v>5</v>
      </c>
      <c r="H29">
        <v>3.00007</v>
      </c>
      <c r="I29" t="s">
        <v>6</v>
      </c>
      <c r="K29">
        <v>2.8641000000000001</v>
      </c>
      <c r="L29">
        <v>0.10417</v>
      </c>
      <c r="O29" t="s">
        <v>4</v>
      </c>
      <c r="P29" t="s">
        <v>10</v>
      </c>
      <c r="Q29">
        <v>3.03</v>
      </c>
      <c r="R29" t="s">
        <v>7</v>
      </c>
      <c r="S29" t="s">
        <v>14</v>
      </c>
      <c r="T29">
        <v>3.0001000000000002</v>
      </c>
      <c r="U29" t="s">
        <v>28</v>
      </c>
      <c r="V29">
        <f>K60</f>
        <v>4.5388000000000002</v>
      </c>
      <c r="W29">
        <f>L60</f>
        <v>0.17410999999999999</v>
      </c>
      <c r="X29">
        <f>AVERAGE(K60:K61)</f>
        <v>4.5033500000000002</v>
      </c>
      <c r="Y29">
        <f>MIN(L60:L61)</f>
        <v>0.17410999999999999</v>
      </c>
    </row>
    <row r="30" spans="1:33" x14ac:dyDescent="0.35">
      <c r="A30" t="s">
        <v>4</v>
      </c>
      <c r="B30" t="s">
        <v>5</v>
      </c>
      <c r="C30">
        <v>3.1</v>
      </c>
      <c r="D30" t="s">
        <v>6</v>
      </c>
      <c r="F30" t="s">
        <v>4</v>
      </c>
      <c r="G30" t="s">
        <v>5</v>
      </c>
      <c r="H30">
        <v>3.00007</v>
      </c>
      <c r="I30" t="s">
        <v>9</v>
      </c>
      <c r="K30">
        <v>2.9420999999999999</v>
      </c>
      <c r="L30">
        <v>0.11565</v>
      </c>
      <c r="O30" s="2" t="s">
        <v>4</v>
      </c>
      <c r="P30" s="2" t="s">
        <v>10</v>
      </c>
      <c r="Q30" s="2">
        <v>3.03</v>
      </c>
      <c r="R30" s="2" t="s">
        <v>7</v>
      </c>
      <c r="S30" s="2" t="s">
        <v>5</v>
      </c>
      <c r="T30" s="2">
        <v>3.0001199999999999</v>
      </c>
      <c r="U30" s="2" t="s">
        <v>23</v>
      </c>
      <c r="V30" s="2">
        <f>K13</f>
        <v>4.5444000000000004</v>
      </c>
      <c r="W30" s="2">
        <f>L13</f>
        <v>0.13295000000000001</v>
      </c>
      <c r="X30" s="2">
        <f>AVERAGE(K12:LK15)</f>
        <v>2.2893747187499995</v>
      </c>
      <c r="Y30" s="2">
        <f>MIN(L12:L15)</f>
        <v>0.13295000000000001</v>
      </c>
    </row>
    <row r="31" spans="1:33" x14ac:dyDescent="0.35">
      <c r="A31" t="s">
        <v>4</v>
      </c>
      <c r="B31" t="s">
        <v>5</v>
      </c>
      <c r="C31">
        <v>3.1</v>
      </c>
      <c r="D31" t="s">
        <v>9</v>
      </c>
      <c r="F31" t="s">
        <v>4</v>
      </c>
      <c r="G31" t="s">
        <v>5</v>
      </c>
      <c r="H31">
        <v>3.00007</v>
      </c>
      <c r="I31" t="s">
        <v>9</v>
      </c>
      <c r="K31">
        <v>2.8532000000000002</v>
      </c>
      <c r="L31">
        <v>0.17610999999999999</v>
      </c>
      <c r="O31" s="2" t="s">
        <v>4</v>
      </c>
      <c r="P31" s="2" t="s">
        <v>10</v>
      </c>
      <c r="Q31" s="2">
        <v>3.03</v>
      </c>
      <c r="R31" s="2" t="s">
        <v>4</v>
      </c>
      <c r="S31" s="2" t="s">
        <v>5</v>
      </c>
      <c r="T31" s="2">
        <v>3.00007</v>
      </c>
      <c r="U31" s="2" t="s">
        <v>23</v>
      </c>
      <c r="V31" s="2">
        <f>K39</f>
        <v>2.6065</v>
      </c>
      <c r="W31" s="2">
        <f>L39</f>
        <v>0.15526999999999999</v>
      </c>
      <c r="X31" s="2">
        <f>AVERAGE(K38:K41)</f>
        <v>2.5041000000000002</v>
      </c>
      <c r="Y31" s="2">
        <f>MIN(L38:L41)</f>
        <v>0.12537999999999999</v>
      </c>
    </row>
    <row r="33" spans="1:12" x14ac:dyDescent="0.35">
      <c r="A33" t="s">
        <v>4</v>
      </c>
      <c r="B33" t="s">
        <v>5</v>
      </c>
      <c r="C33">
        <v>3.03</v>
      </c>
      <c r="D33" t="s">
        <v>6</v>
      </c>
      <c r="F33" t="s">
        <v>4</v>
      </c>
      <c r="G33" t="s">
        <v>5</v>
      </c>
      <c r="H33">
        <v>3.00007</v>
      </c>
      <c r="I33" t="s">
        <v>6</v>
      </c>
      <c r="K33">
        <v>2.7507999999999999</v>
      </c>
      <c r="L33">
        <v>0.18951999999999999</v>
      </c>
    </row>
    <row r="34" spans="1:12" x14ac:dyDescent="0.35">
      <c r="A34" t="s">
        <v>4</v>
      </c>
      <c r="B34" t="s">
        <v>5</v>
      </c>
      <c r="C34">
        <v>3.03</v>
      </c>
      <c r="D34" t="s">
        <v>9</v>
      </c>
      <c r="F34" t="s">
        <v>4</v>
      </c>
      <c r="G34" t="s">
        <v>5</v>
      </c>
      <c r="H34">
        <v>3.00007</v>
      </c>
      <c r="I34" t="s">
        <v>6</v>
      </c>
      <c r="K34">
        <v>2.8380999999999998</v>
      </c>
      <c r="L34">
        <v>0.17604</v>
      </c>
    </row>
    <row r="35" spans="1:12" x14ac:dyDescent="0.35">
      <c r="A35" t="s">
        <v>4</v>
      </c>
      <c r="B35" t="s">
        <v>5</v>
      </c>
      <c r="C35">
        <v>3.03</v>
      </c>
      <c r="D35" t="s">
        <v>6</v>
      </c>
      <c r="F35" t="s">
        <v>4</v>
      </c>
      <c r="G35" t="s">
        <v>5</v>
      </c>
      <c r="H35">
        <v>3.00007</v>
      </c>
      <c r="I35" t="s">
        <v>9</v>
      </c>
      <c r="K35">
        <v>2.8086000000000002</v>
      </c>
      <c r="L35">
        <v>0.14516999999999999</v>
      </c>
    </row>
    <row r="36" spans="1:12" x14ac:dyDescent="0.35">
      <c r="A36" t="s">
        <v>4</v>
      </c>
      <c r="B36" t="s">
        <v>5</v>
      </c>
      <c r="C36">
        <v>3.03</v>
      </c>
      <c r="D36" t="s">
        <v>9</v>
      </c>
      <c r="F36" t="s">
        <v>4</v>
      </c>
      <c r="G36" t="s">
        <v>5</v>
      </c>
      <c r="H36">
        <v>3.00007</v>
      </c>
      <c r="I36" t="s">
        <v>9</v>
      </c>
      <c r="K36">
        <v>2.8672</v>
      </c>
      <c r="L36">
        <v>0.15620999999999999</v>
      </c>
    </row>
    <row r="38" spans="1:12" x14ac:dyDescent="0.35">
      <c r="A38" t="s">
        <v>4</v>
      </c>
      <c r="B38" t="s">
        <v>10</v>
      </c>
      <c r="C38">
        <v>3.03</v>
      </c>
      <c r="D38" t="s">
        <v>6</v>
      </c>
      <c r="F38" t="s">
        <v>4</v>
      </c>
      <c r="G38" t="s">
        <v>5</v>
      </c>
      <c r="H38">
        <v>3.00007</v>
      </c>
      <c r="I38" t="s">
        <v>6</v>
      </c>
      <c r="K38">
        <v>2.4967000000000001</v>
      </c>
      <c r="L38">
        <v>0.15870999999999999</v>
      </c>
    </row>
    <row r="39" spans="1:12" x14ac:dyDescent="0.35">
      <c r="A39" t="s">
        <v>4</v>
      </c>
      <c r="B39" t="s">
        <v>10</v>
      </c>
      <c r="C39">
        <v>3.03</v>
      </c>
      <c r="D39" t="s">
        <v>9</v>
      </c>
      <c r="F39" t="s">
        <v>4</v>
      </c>
      <c r="G39" t="s">
        <v>5</v>
      </c>
      <c r="H39">
        <v>3.00007</v>
      </c>
      <c r="I39" t="s">
        <v>6</v>
      </c>
      <c r="K39">
        <v>2.6065</v>
      </c>
      <c r="L39">
        <v>0.15526999999999999</v>
      </c>
    </row>
    <row r="40" spans="1:12" x14ac:dyDescent="0.35">
      <c r="A40" t="s">
        <v>4</v>
      </c>
      <c r="B40" t="s">
        <v>10</v>
      </c>
      <c r="C40">
        <v>3.03</v>
      </c>
      <c r="D40" t="s">
        <v>6</v>
      </c>
      <c r="F40" t="s">
        <v>4</v>
      </c>
      <c r="G40" t="s">
        <v>5</v>
      </c>
      <c r="H40">
        <v>3.00007</v>
      </c>
      <c r="I40" t="s">
        <v>9</v>
      </c>
      <c r="K40">
        <v>2.4369000000000001</v>
      </c>
      <c r="L40">
        <v>0.12537999999999999</v>
      </c>
    </row>
    <row r="41" spans="1:12" x14ac:dyDescent="0.35">
      <c r="A41" t="s">
        <v>4</v>
      </c>
      <c r="B41" t="s">
        <v>10</v>
      </c>
      <c r="C41">
        <v>3.03</v>
      </c>
      <c r="D41" t="s">
        <v>9</v>
      </c>
      <c r="F41" t="s">
        <v>4</v>
      </c>
      <c r="G41" t="s">
        <v>5</v>
      </c>
      <c r="H41">
        <v>3.00007</v>
      </c>
      <c r="I41" t="s">
        <v>9</v>
      </c>
      <c r="K41">
        <v>2.4763000000000002</v>
      </c>
      <c r="L41">
        <v>0.24496999999999999</v>
      </c>
    </row>
    <row r="43" spans="1:12" x14ac:dyDescent="0.35">
      <c r="A43" t="s">
        <v>4</v>
      </c>
      <c r="B43" t="s">
        <v>11</v>
      </c>
      <c r="C43">
        <v>3</v>
      </c>
      <c r="D43" t="s">
        <v>12</v>
      </c>
      <c r="F43" t="s">
        <v>4</v>
      </c>
      <c r="G43" t="s">
        <v>5</v>
      </c>
      <c r="H43">
        <v>3.00007</v>
      </c>
      <c r="I43" t="s">
        <v>6</v>
      </c>
      <c r="K43">
        <v>2.8348</v>
      </c>
      <c r="L43">
        <v>0.10631</v>
      </c>
    </row>
    <row r="44" spans="1:12" x14ac:dyDescent="0.35">
      <c r="A44" t="s">
        <v>4</v>
      </c>
      <c r="B44" t="s">
        <v>11</v>
      </c>
      <c r="C44">
        <v>3</v>
      </c>
      <c r="D44" t="s">
        <v>13</v>
      </c>
      <c r="F44" t="s">
        <v>4</v>
      </c>
      <c r="G44" t="s">
        <v>5</v>
      </c>
      <c r="H44">
        <v>3.00007</v>
      </c>
      <c r="I44" t="s">
        <v>6</v>
      </c>
      <c r="K44">
        <v>2.7404000000000002</v>
      </c>
      <c r="L44">
        <v>0.12132999999999999</v>
      </c>
    </row>
    <row r="45" spans="1:12" x14ac:dyDescent="0.35">
      <c r="A45" t="s">
        <v>4</v>
      </c>
      <c r="B45" t="s">
        <v>11</v>
      </c>
      <c r="C45">
        <v>3</v>
      </c>
      <c r="D45" t="s">
        <v>12</v>
      </c>
      <c r="F45" t="s">
        <v>4</v>
      </c>
      <c r="G45" t="s">
        <v>5</v>
      </c>
      <c r="H45">
        <v>3.00007</v>
      </c>
      <c r="I45" t="s">
        <v>9</v>
      </c>
      <c r="K45">
        <v>2.8713000000000002</v>
      </c>
      <c r="L45">
        <v>0.11046</v>
      </c>
    </row>
    <row r="46" spans="1:12" x14ac:dyDescent="0.35">
      <c r="A46" t="s">
        <v>4</v>
      </c>
      <c r="B46" t="s">
        <v>11</v>
      </c>
      <c r="C46">
        <v>3</v>
      </c>
      <c r="D46" t="s">
        <v>13</v>
      </c>
      <c r="F46" t="s">
        <v>4</v>
      </c>
      <c r="G46" t="s">
        <v>5</v>
      </c>
      <c r="H46">
        <v>3.00007</v>
      </c>
      <c r="I46" t="s">
        <v>9</v>
      </c>
      <c r="K46">
        <v>2.9150999999999998</v>
      </c>
      <c r="L46">
        <v>0.14591999999999999</v>
      </c>
    </row>
    <row r="48" spans="1:12" x14ac:dyDescent="0.35">
      <c r="A48" t="s">
        <v>4</v>
      </c>
      <c r="B48" t="s">
        <v>14</v>
      </c>
      <c r="C48">
        <v>3.03</v>
      </c>
      <c r="F48" t="s">
        <v>4</v>
      </c>
      <c r="G48" t="s">
        <v>5</v>
      </c>
      <c r="H48">
        <v>3.00007</v>
      </c>
      <c r="I48" t="s">
        <v>6</v>
      </c>
      <c r="K48">
        <v>2.9173</v>
      </c>
      <c r="L48">
        <v>0.16868</v>
      </c>
    </row>
    <row r="49" spans="1:12" x14ac:dyDescent="0.35">
      <c r="A49" t="s">
        <v>4</v>
      </c>
      <c r="B49" t="s">
        <v>14</v>
      </c>
      <c r="C49">
        <v>3.03</v>
      </c>
      <c r="F49" t="s">
        <v>4</v>
      </c>
      <c r="G49" t="s">
        <v>5</v>
      </c>
      <c r="H49">
        <v>3.00007</v>
      </c>
      <c r="I49" t="s">
        <v>9</v>
      </c>
      <c r="K49">
        <v>2.8961000000000001</v>
      </c>
      <c r="L49">
        <v>0.11763</v>
      </c>
    </row>
    <row r="51" spans="1:12" x14ac:dyDescent="0.35">
      <c r="A51" t="s">
        <v>4</v>
      </c>
      <c r="B51" t="s">
        <v>15</v>
      </c>
      <c r="C51">
        <v>3.03</v>
      </c>
      <c r="F51" t="s">
        <v>4</v>
      </c>
      <c r="G51" t="s">
        <v>5</v>
      </c>
      <c r="H51">
        <v>3.00007</v>
      </c>
      <c r="I51" t="s">
        <v>6</v>
      </c>
      <c r="K51">
        <v>2.6133999999999999</v>
      </c>
      <c r="L51">
        <v>0.18079999999999999</v>
      </c>
    </row>
    <row r="52" spans="1:12" x14ac:dyDescent="0.35">
      <c r="A52" t="s">
        <v>4</v>
      </c>
      <c r="B52" t="s">
        <v>15</v>
      </c>
      <c r="C52">
        <v>3.03</v>
      </c>
      <c r="F52" t="s">
        <v>4</v>
      </c>
      <c r="G52" t="s">
        <v>5</v>
      </c>
      <c r="H52">
        <v>3.00007</v>
      </c>
      <c r="I52" t="s">
        <v>9</v>
      </c>
      <c r="K52">
        <v>2.5573999999999999</v>
      </c>
      <c r="L52">
        <v>0.1014</v>
      </c>
    </row>
    <row r="54" spans="1:12" x14ac:dyDescent="0.35">
      <c r="A54" t="s">
        <v>4</v>
      </c>
      <c r="B54" t="s">
        <v>5</v>
      </c>
      <c r="C54">
        <v>3.1</v>
      </c>
      <c r="D54" t="s">
        <v>6</v>
      </c>
      <c r="F54" t="s">
        <v>7</v>
      </c>
      <c r="G54" t="s">
        <v>14</v>
      </c>
      <c r="H54">
        <v>3.0001000000000002</v>
      </c>
      <c r="K54">
        <v>4.9790999999999999</v>
      </c>
      <c r="L54">
        <v>0.18819</v>
      </c>
    </row>
    <row r="55" spans="1:12" x14ac:dyDescent="0.35">
      <c r="A55" t="s">
        <v>4</v>
      </c>
      <c r="B55" t="s">
        <v>5</v>
      </c>
      <c r="C55">
        <v>3.1</v>
      </c>
      <c r="D55" t="s">
        <v>9</v>
      </c>
      <c r="F55" t="s">
        <v>7</v>
      </c>
      <c r="G55" t="s">
        <v>14</v>
      </c>
      <c r="H55">
        <v>3.0001000000000002</v>
      </c>
      <c r="K55">
        <v>4.9535</v>
      </c>
      <c r="L55">
        <v>0.16019</v>
      </c>
    </row>
    <row r="57" spans="1:12" x14ac:dyDescent="0.35">
      <c r="A57" t="s">
        <v>4</v>
      </c>
      <c r="B57" t="s">
        <v>5</v>
      </c>
      <c r="C57">
        <v>3.03</v>
      </c>
      <c r="D57" t="s">
        <v>6</v>
      </c>
      <c r="F57" t="s">
        <v>7</v>
      </c>
      <c r="G57" t="s">
        <v>14</v>
      </c>
      <c r="H57">
        <v>3.0001000000000002</v>
      </c>
      <c r="K57">
        <v>4.7412999999999998</v>
      </c>
      <c r="L57">
        <v>0.18226000000000001</v>
      </c>
    </row>
    <row r="58" spans="1:12" x14ac:dyDescent="0.35">
      <c r="A58" t="s">
        <v>4</v>
      </c>
      <c r="B58" t="s">
        <v>5</v>
      </c>
      <c r="C58">
        <v>3.03</v>
      </c>
      <c r="D58" t="s">
        <v>9</v>
      </c>
      <c r="F58" t="s">
        <v>7</v>
      </c>
      <c r="G58" t="s">
        <v>14</v>
      </c>
      <c r="H58">
        <v>3.0001000000000002</v>
      </c>
      <c r="K58">
        <v>4.8888999999999996</v>
      </c>
      <c r="L58">
        <v>0.16137000000000001</v>
      </c>
    </row>
    <row r="60" spans="1:12" x14ac:dyDescent="0.35">
      <c r="A60" t="s">
        <v>4</v>
      </c>
      <c r="B60" t="s">
        <v>10</v>
      </c>
      <c r="C60">
        <v>3.03</v>
      </c>
      <c r="D60" t="s">
        <v>6</v>
      </c>
      <c r="F60" t="s">
        <v>7</v>
      </c>
      <c r="G60" t="s">
        <v>14</v>
      </c>
      <c r="H60">
        <v>3.0001000000000002</v>
      </c>
      <c r="K60">
        <v>4.5388000000000002</v>
      </c>
      <c r="L60">
        <v>0.17410999999999999</v>
      </c>
    </row>
    <row r="61" spans="1:12" x14ac:dyDescent="0.35">
      <c r="A61" t="s">
        <v>4</v>
      </c>
      <c r="B61" t="s">
        <v>10</v>
      </c>
      <c r="C61">
        <v>3.03</v>
      </c>
      <c r="D61" t="s">
        <v>9</v>
      </c>
      <c r="F61" t="s">
        <v>7</v>
      </c>
      <c r="G61" t="s">
        <v>14</v>
      </c>
      <c r="H61">
        <v>3.0001000000000002</v>
      </c>
      <c r="K61">
        <v>4.4679000000000002</v>
      </c>
      <c r="L61">
        <v>0.23721</v>
      </c>
    </row>
    <row r="63" spans="1:12" x14ac:dyDescent="0.35">
      <c r="A63" t="s">
        <v>4</v>
      </c>
      <c r="B63" t="s">
        <v>11</v>
      </c>
      <c r="C63">
        <v>3</v>
      </c>
      <c r="D63" t="s">
        <v>12</v>
      </c>
      <c r="F63" t="s">
        <v>7</v>
      </c>
      <c r="G63" t="s">
        <v>14</v>
      </c>
      <c r="H63">
        <v>3.0001000000000002</v>
      </c>
      <c r="K63">
        <v>5.0407999999999999</v>
      </c>
      <c r="L63">
        <v>0.12686</v>
      </c>
    </row>
    <row r="64" spans="1:12" x14ac:dyDescent="0.35">
      <c r="A64" t="s">
        <v>4</v>
      </c>
      <c r="B64" t="s">
        <v>11</v>
      </c>
      <c r="C64">
        <v>3</v>
      </c>
      <c r="D64" t="s">
        <v>13</v>
      </c>
      <c r="F64" t="s">
        <v>7</v>
      </c>
      <c r="G64" t="s">
        <v>14</v>
      </c>
      <c r="H64">
        <v>3.0001000000000002</v>
      </c>
      <c r="K64">
        <v>4.9245999999999999</v>
      </c>
      <c r="L64">
        <v>0.20635000000000001</v>
      </c>
    </row>
    <row r="66" spans="1:12" x14ac:dyDescent="0.35">
      <c r="A66" t="s">
        <v>7</v>
      </c>
      <c r="B66" t="s">
        <v>5</v>
      </c>
      <c r="C66">
        <v>3.1</v>
      </c>
      <c r="D66" t="s">
        <v>6</v>
      </c>
      <c r="F66" t="s">
        <v>7</v>
      </c>
      <c r="G66" t="s">
        <v>5</v>
      </c>
      <c r="H66">
        <v>3.0001199999999999</v>
      </c>
      <c r="I66" t="s">
        <v>6</v>
      </c>
      <c r="K66">
        <v>4.5812999999999997</v>
      </c>
      <c r="L66">
        <v>0.1988</v>
      </c>
    </row>
    <row r="67" spans="1:12" x14ac:dyDescent="0.35">
      <c r="A67" t="s">
        <v>7</v>
      </c>
      <c r="B67" t="s">
        <v>5</v>
      </c>
      <c r="C67">
        <v>3.1</v>
      </c>
      <c r="D67" t="s">
        <v>9</v>
      </c>
      <c r="F67" t="s">
        <v>7</v>
      </c>
      <c r="G67" t="s">
        <v>5</v>
      </c>
      <c r="H67">
        <v>3.0001199999999999</v>
      </c>
      <c r="I67" t="s">
        <v>6</v>
      </c>
      <c r="K67">
        <v>4.4909999999999997</v>
      </c>
      <c r="L67">
        <v>0.15126000000000001</v>
      </c>
    </row>
    <row r="68" spans="1:12" x14ac:dyDescent="0.35">
      <c r="A68" t="s">
        <v>7</v>
      </c>
      <c r="B68" t="s">
        <v>5</v>
      </c>
      <c r="C68">
        <v>3.1</v>
      </c>
      <c r="D68" t="s">
        <v>6</v>
      </c>
      <c r="F68" t="s">
        <v>7</v>
      </c>
      <c r="G68" t="s">
        <v>5</v>
      </c>
      <c r="H68">
        <v>3.0001199999999999</v>
      </c>
      <c r="I68" t="s">
        <v>9</v>
      </c>
      <c r="K68">
        <v>4.6367000000000003</v>
      </c>
      <c r="L68">
        <v>0.20083000000000001</v>
      </c>
    </row>
    <row r="69" spans="1:12" x14ac:dyDescent="0.35">
      <c r="A69" t="s">
        <v>7</v>
      </c>
      <c r="B69" t="s">
        <v>5</v>
      </c>
      <c r="C69">
        <v>3.1</v>
      </c>
      <c r="D69" t="s">
        <v>9</v>
      </c>
      <c r="F69" t="s">
        <v>7</v>
      </c>
      <c r="G69" t="s">
        <v>5</v>
      </c>
      <c r="H69">
        <v>3.0001199999999999</v>
      </c>
      <c r="I69" t="s">
        <v>9</v>
      </c>
      <c r="K69">
        <v>4.6929999999999996</v>
      </c>
      <c r="L69">
        <v>0.22266</v>
      </c>
    </row>
    <row r="71" spans="1:12" x14ac:dyDescent="0.35">
      <c r="A71" t="s">
        <v>7</v>
      </c>
      <c r="B71" t="s">
        <v>5</v>
      </c>
      <c r="C71">
        <v>3.03</v>
      </c>
      <c r="D71" t="s">
        <v>6</v>
      </c>
      <c r="F71" t="s">
        <v>7</v>
      </c>
      <c r="G71" t="s">
        <v>5</v>
      </c>
      <c r="H71">
        <v>3.0001199999999999</v>
      </c>
      <c r="I71" t="s">
        <v>6</v>
      </c>
      <c r="K71">
        <v>4.5574000000000003</v>
      </c>
      <c r="L71">
        <v>0.12823999999999999</v>
      </c>
    </row>
    <row r="72" spans="1:12" x14ac:dyDescent="0.35">
      <c r="A72" t="s">
        <v>7</v>
      </c>
      <c r="B72" t="s">
        <v>5</v>
      </c>
      <c r="C72">
        <v>3.03</v>
      </c>
      <c r="D72" t="s">
        <v>9</v>
      </c>
      <c r="F72" t="s">
        <v>7</v>
      </c>
      <c r="G72" t="s">
        <v>5</v>
      </c>
      <c r="H72">
        <v>3.0001199999999999</v>
      </c>
      <c r="I72" t="s">
        <v>6</v>
      </c>
      <c r="K72">
        <v>4.4733000000000001</v>
      </c>
      <c r="L72">
        <v>0.24767</v>
      </c>
    </row>
    <row r="73" spans="1:12" x14ac:dyDescent="0.35">
      <c r="A73" t="s">
        <v>7</v>
      </c>
      <c r="B73" t="s">
        <v>5</v>
      </c>
      <c r="C73">
        <v>3.03</v>
      </c>
      <c r="D73" t="s">
        <v>6</v>
      </c>
      <c r="F73" t="s">
        <v>7</v>
      </c>
      <c r="G73" t="s">
        <v>5</v>
      </c>
      <c r="H73">
        <v>3.0001199999999999</v>
      </c>
      <c r="I73" t="s">
        <v>9</v>
      </c>
      <c r="K73">
        <v>4.4414999999999996</v>
      </c>
      <c r="L73">
        <v>0.26835999999999999</v>
      </c>
    </row>
    <row r="74" spans="1:12" x14ac:dyDescent="0.35">
      <c r="A74" t="s">
        <v>7</v>
      </c>
      <c r="B74" t="s">
        <v>5</v>
      </c>
      <c r="C74">
        <v>3.03</v>
      </c>
      <c r="D74" t="s">
        <v>9</v>
      </c>
      <c r="F74" t="s">
        <v>7</v>
      </c>
      <c r="G74" t="s">
        <v>5</v>
      </c>
      <c r="H74">
        <v>3.0001199999999999</v>
      </c>
      <c r="I74" t="s">
        <v>9</v>
      </c>
      <c r="K74">
        <v>4.5026999999999999</v>
      </c>
      <c r="L74">
        <v>0.26629000000000003</v>
      </c>
    </row>
    <row r="76" spans="1:12" x14ac:dyDescent="0.35">
      <c r="A76" t="s">
        <v>7</v>
      </c>
      <c r="B76" t="s">
        <v>11</v>
      </c>
      <c r="C76">
        <v>3</v>
      </c>
      <c r="D76" t="s">
        <v>33</v>
      </c>
      <c r="F76" t="s">
        <v>7</v>
      </c>
      <c r="G76" t="s">
        <v>5</v>
      </c>
      <c r="H76">
        <v>3.0001199999999999</v>
      </c>
      <c r="I76" t="s">
        <v>6</v>
      </c>
      <c r="K76">
        <v>4.6382000000000003</v>
      </c>
      <c r="L76">
        <v>9.8185999999999996E-2</v>
      </c>
    </row>
    <row r="77" spans="1:12" x14ac:dyDescent="0.35">
      <c r="A77" t="s">
        <v>7</v>
      </c>
      <c r="B77" t="s">
        <v>11</v>
      </c>
      <c r="C77">
        <v>3</v>
      </c>
      <c r="D77" t="s">
        <v>34</v>
      </c>
      <c r="F77" t="s">
        <v>7</v>
      </c>
      <c r="G77" t="s">
        <v>5</v>
      </c>
      <c r="H77">
        <v>3.0001199999999999</v>
      </c>
      <c r="I77" t="s">
        <v>6</v>
      </c>
      <c r="K77">
        <v>4.6973000000000003</v>
      </c>
      <c r="L77">
        <v>0.21865999999999999</v>
      </c>
    </row>
    <row r="78" spans="1:12" x14ac:dyDescent="0.35">
      <c r="A78" t="s">
        <v>7</v>
      </c>
      <c r="B78" t="s">
        <v>11</v>
      </c>
      <c r="C78">
        <v>3</v>
      </c>
      <c r="D78" t="s">
        <v>33</v>
      </c>
      <c r="F78" t="s">
        <v>7</v>
      </c>
      <c r="G78" t="s">
        <v>5</v>
      </c>
      <c r="H78">
        <v>3.0001199999999999</v>
      </c>
      <c r="I78" t="s">
        <v>9</v>
      </c>
      <c r="K78">
        <v>4.5488999999999997</v>
      </c>
      <c r="L78">
        <v>0.21632999999999999</v>
      </c>
    </row>
    <row r="79" spans="1:12" x14ac:dyDescent="0.35">
      <c r="A79" t="s">
        <v>7</v>
      </c>
      <c r="B79" t="s">
        <v>11</v>
      </c>
      <c r="C79">
        <v>3</v>
      </c>
      <c r="D79" t="s">
        <v>34</v>
      </c>
      <c r="F79" t="s">
        <v>7</v>
      </c>
      <c r="G79" t="s">
        <v>5</v>
      </c>
      <c r="H79">
        <v>3.0001199999999999</v>
      </c>
      <c r="I79" t="s">
        <v>9</v>
      </c>
      <c r="K79">
        <v>4.7488999999999999</v>
      </c>
      <c r="L79">
        <v>0.14174999999999999</v>
      </c>
    </row>
    <row r="81" spans="1:12" x14ac:dyDescent="0.35">
      <c r="A81" t="s">
        <v>7</v>
      </c>
      <c r="B81" t="s">
        <v>14</v>
      </c>
      <c r="C81">
        <v>3.03</v>
      </c>
      <c r="F81" t="s">
        <v>7</v>
      </c>
      <c r="G81" t="s">
        <v>5</v>
      </c>
      <c r="H81">
        <v>3.0001199999999999</v>
      </c>
      <c r="I81" t="s">
        <v>6</v>
      </c>
      <c r="K81">
        <v>4.7007000000000003</v>
      </c>
      <c r="L81">
        <v>0.33402999999999999</v>
      </c>
    </row>
    <row r="82" spans="1:12" x14ac:dyDescent="0.35">
      <c r="A82" t="s">
        <v>7</v>
      </c>
      <c r="B82" t="s">
        <v>14</v>
      </c>
      <c r="C82">
        <v>3.03</v>
      </c>
      <c r="F82" t="s">
        <v>7</v>
      </c>
      <c r="G82" t="s">
        <v>5</v>
      </c>
      <c r="H82">
        <v>3.0001199999999999</v>
      </c>
      <c r="I82" t="s">
        <v>9</v>
      </c>
      <c r="K82">
        <v>4.7477</v>
      </c>
      <c r="L82">
        <v>0.13539000000000001</v>
      </c>
    </row>
    <row r="84" spans="1:12" x14ac:dyDescent="0.35">
      <c r="A84" t="s">
        <v>7</v>
      </c>
      <c r="B84" t="s">
        <v>15</v>
      </c>
      <c r="C84">
        <v>3.03</v>
      </c>
      <c r="F84" t="s">
        <v>7</v>
      </c>
      <c r="G84" t="s">
        <v>5</v>
      </c>
      <c r="H84">
        <v>3.0001199999999999</v>
      </c>
      <c r="I84" t="s">
        <v>6</v>
      </c>
      <c r="K84">
        <v>4.8242000000000003</v>
      </c>
      <c r="L84">
        <v>0.13747000000000001</v>
      </c>
    </row>
    <row r="85" spans="1:12" x14ac:dyDescent="0.35">
      <c r="A85" t="s">
        <v>7</v>
      </c>
      <c r="B85" t="s">
        <v>15</v>
      </c>
      <c r="C85">
        <v>3.03</v>
      </c>
      <c r="F85" t="s">
        <v>7</v>
      </c>
      <c r="G85" t="s">
        <v>5</v>
      </c>
      <c r="H85">
        <v>3.0001199999999999</v>
      </c>
      <c r="I85" t="s">
        <v>9</v>
      </c>
      <c r="K85">
        <v>4.6516000000000002</v>
      </c>
      <c r="L85">
        <v>0.17469999999999999</v>
      </c>
    </row>
    <row r="87" spans="1:12" x14ac:dyDescent="0.35">
      <c r="A87" t="s">
        <v>7</v>
      </c>
      <c r="B87" t="s">
        <v>5</v>
      </c>
      <c r="C87">
        <v>3.1</v>
      </c>
      <c r="D87" t="s">
        <v>6</v>
      </c>
      <c r="F87" t="s">
        <v>4</v>
      </c>
      <c r="G87" t="s">
        <v>5</v>
      </c>
      <c r="H87">
        <v>3.00007</v>
      </c>
      <c r="I87" t="s">
        <v>6</v>
      </c>
      <c r="K87">
        <v>2.6254</v>
      </c>
      <c r="L87">
        <v>0.25506000000000001</v>
      </c>
    </row>
    <row r="88" spans="1:12" x14ac:dyDescent="0.35">
      <c r="A88" t="s">
        <v>7</v>
      </c>
      <c r="B88" t="s">
        <v>5</v>
      </c>
      <c r="C88">
        <v>3.1</v>
      </c>
      <c r="D88" t="s">
        <v>9</v>
      </c>
      <c r="F88" t="s">
        <v>4</v>
      </c>
      <c r="G88" t="s">
        <v>5</v>
      </c>
      <c r="H88">
        <v>3.00007</v>
      </c>
      <c r="I88" t="s">
        <v>6</v>
      </c>
      <c r="K88">
        <v>2.6896</v>
      </c>
      <c r="L88">
        <v>0.12984000000000001</v>
      </c>
    </row>
    <row r="89" spans="1:12" x14ac:dyDescent="0.35">
      <c r="A89" t="s">
        <v>7</v>
      </c>
      <c r="B89" t="s">
        <v>5</v>
      </c>
      <c r="C89">
        <v>3.1</v>
      </c>
      <c r="D89" t="s">
        <v>6</v>
      </c>
      <c r="F89" t="s">
        <v>4</v>
      </c>
      <c r="G89" t="s">
        <v>5</v>
      </c>
      <c r="H89">
        <v>3.00007</v>
      </c>
      <c r="I89" t="s">
        <v>9</v>
      </c>
      <c r="K89">
        <v>2.6168999999999998</v>
      </c>
      <c r="L89">
        <v>0.21557000000000001</v>
      </c>
    </row>
    <row r="90" spans="1:12" x14ac:dyDescent="0.35">
      <c r="A90" t="s">
        <v>7</v>
      </c>
      <c r="B90" t="s">
        <v>5</v>
      </c>
      <c r="C90">
        <v>3.1</v>
      </c>
      <c r="D90" t="s">
        <v>9</v>
      </c>
      <c r="F90" t="s">
        <v>4</v>
      </c>
      <c r="G90" t="s">
        <v>5</v>
      </c>
      <c r="H90">
        <v>3.00007</v>
      </c>
      <c r="I90" t="s">
        <v>9</v>
      </c>
      <c r="K90">
        <v>2.6741000000000001</v>
      </c>
      <c r="L90">
        <v>0.18107000000000001</v>
      </c>
    </row>
    <row r="92" spans="1:12" x14ac:dyDescent="0.35">
      <c r="A92" t="s">
        <v>7</v>
      </c>
      <c r="B92" t="s">
        <v>5</v>
      </c>
      <c r="C92">
        <v>3.03</v>
      </c>
      <c r="D92" t="s">
        <v>6</v>
      </c>
      <c r="F92" t="s">
        <v>4</v>
      </c>
      <c r="G92" t="s">
        <v>5</v>
      </c>
      <c r="H92">
        <v>3.00007</v>
      </c>
      <c r="I92" t="s">
        <v>6</v>
      </c>
      <c r="K92">
        <v>2.5428000000000002</v>
      </c>
      <c r="L92">
        <v>0.13915</v>
      </c>
    </row>
    <row r="93" spans="1:12" x14ac:dyDescent="0.35">
      <c r="A93" t="s">
        <v>7</v>
      </c>
      <c r="B93" t="s">
        <v>5</v>
      </c>
      <c r="C93">
        <v>3.03</v>
      </c>
      <c r="D93" t="s">
        <v>9</v>
      </c>
      <c r="F93" t="s">
        <v>4</v>
      </c>
      <c r="G93" t="s">
        <v>5</v>
      </c>
      <c r="H93">
        <v>3.00007</v>
      </c>
      <c r="I93" t="s">
        <v>6</v>
      </c>
      <c r="K93">
        <v>2.4838</v>
      </c>
      <c r="L93">
        <v>0.28253</v>
      </c>
    </row>
    <row r="94" spans="1:12" x14ac:dyDescent="0.35">
      <c r="A94" t="s">
        <v>7</v>
      </c>
      <c r="B94" t="s">
        <v>5</v>
      </c>
      <c r="C94">
        <v>3.03</v>
      </c>
      <c r="D94" t="s">
        <v>6</v>
      </c>
      <c r="F94" t="s">
        <v>4</v>
      </c>
      <c r="G94" t="s">
        <v>5</v>
      </c>
      <c r="H94">
        <v>3.00007</v>
      </c>
      <c r="I94" t="s">
        <v>9</v>
      </c>
      <c r="K94">
        <v>2.5589</v>
      </c>
      <c r="L94">
        <v>0.23338</v>
      </c>
    </row>
    <row r="95" spans="1:12" x14ac:dyDescent="0.35">
      <c r="A95" t="s">
        <v>7</v>
      </c>
      <c r="B95" t="s">
        <v>5</v>
      </c>
      <c r="C95">
        <v>3.03</v>
      </c>
      <c r="D95" t="s">
        <v>9</v>
      </c>
      <c r="F95" t="s">
        <v>4</v>
      </c>
      <c r="G95" t="s">
        <v>5</v>
      </c>
      <c r="H95">
        <v>3.00007</v>
      </c>
      <c r="I95" t="s">
        <v>9</v>
      </c>
      <c r="K95">
        <v>2.4582000000000002</v>
      </c>
      <c r="L95">
        <v>0.21113999999999999</v>
      </c>
    </row>
    <row r="97" spans="1:12" x14ac:dyDescent="0.35">
      <c r="A97" t="s">
        <v>7</v>
      </c>
      <c r="B97" t="s">
        <v>11</v>
      </c>
      <c r="C97">
        <v>3</v>
      </c>
      <c r="D97" t="s">
        <v>33</v>
      </c>
      <c r="F97" t="s">
        <v>4</v>
      </c>
      <c r="G97" t="s">
        <v>5</v>
      </c>
      <c r="H97">
        <v>3.00007</v>
      </c>
      <c r="I97" t="s">
        <v>6</v>
      </c>
      <c r="K97">
        <v>2.6057000000000001</v>
      </c>
      <c r="L97">
        <v>0.1047</v>
      </c>
    </row>
    <row r="98" spans="1:12" x14ac:dyDescent="0.35">
      <c r="A98" t="s">
        <v>7</v>
      </c>
      <c r="B98" t="s">
        <v>11</v>
      </c>
      <c r="C98">
        <v>3</v>
      </c>
      <c r="D98" t="s">
        <v>34</v>
      </c>
      <c r="F98" t="s">
        <v>4</v>
      </c>
      <c r="G98" t="s">
        <v>5</v>
      </c>
      <c r="H98">
        <v>3.00007</v>
      </c>
      <c r="I98" t="s">
        <v>6</v>
      </c>
      <c r="K98">
        <v>2.726</v>
      </c>
      <c r="L98">
        <v>0.20427999999999999</v>
      </c>
    </row>
    <row r="99" spans="1:12" x14ac:dyDescent="0.35">
      <c r="A99" t="s">
        <v>7</v>
      </c>
      <c r="B99" t="s">
        <v>11</v>
      </c>
      <c r="C99">
        <v>3</v>
      </c>
      <c r="D99" t="s">
        <v>33</v>
      </c>
      <c r="F99" t="s">
        <v>4</v>
      </c>
      <c r="G99" t="s">
        <v>5</v>
      </c>
      <c r="H99">
        <v>3.00007</v>
      </c>
      <c r="I99" t="s">
        <v>9</v>
      </c>
      <c r="K99">
        <v>2.6223999999999998</v>
      </c>
      <c r="L99">
        <v>0.14551</v>
      </c>
    </row>
    <row r="100" spans="1:12" x14ac:dyDescent="0.35">
      <c r="A100" t="s">
        <v>7</v>
      </c>
      <c r="B100" t="s">
        <v>11</v>
      </c>
      <c r="C100">
        <v>3</v>
      </c>
      <c r="D100" t="s">
        <v>34</v>
      </c>
      <c r="F100" t="s">
        <v>4</v>
      </c>
      <c r="G100" t="s">
        <v>5</v>
      </c>
      <c r="H100">
        <v>3.00007</v>
      </c>
      <c r="I100" t="s">
        <v>9</v>
      </c>
      <c r="K100">
        <v>2.6410999999999998</v>
      </c>
      <c r="L100">
        <v>0.19691</v>
      </c>
    </row>
    <row r="102" spans="1:12" x14ac:dyDescent="0.35">
      <c r="A102" t="s">
        <v>7</v>
      </c>
      <c r="B102" t="s">
        <v>14</v>
      </c>
      <c r="C102">
        <v>3.03</v>
      </c>
      <c r="F102" t="s">
        <v>4</v>
      </c>
      <c r="G102" t="s">
        <v>5</v>
      </c>
      <c r="H102">
        <v>3.00007</v>
      </c>
      <c r="I102" t="s">
        <v>6</v>
      </c>
      <c r="K102">
        <v>2.6686000000000001</v>
      </c>
      <c r="L102">
        <v>0.21723000000000001</v>
      </c>
    </row>
    <row r="103" spans="1:12" x14ac:dyDescent="0.35">
      <c r="A103" t="s">
        <v>7</v>
      </c>
      <c r="B103" t="s">
        <v>14</v>
      </c>
      <c r="C103">
        <v>3.03</v>
      </c>
      <c r="F103" t="s">
        <v>4</v>
      </c>
      <c r="G103" t="s">
        <v>5</v>
      </c>
      <c r="H103">
        <v>3.00007</v>
      </c>
      <c r="I103" t="s">
        <v>9</v>
      </c>
      <c r="K103">
        <v>2.8180000000000001</v>
      </c>
      <c r="L103">
        <v>0.13852999999999999</v>
      </c>
    </row>
    <row r="105" spans="1:12" x14ac:dyDescent="0.35">
      <c r="A105" t="s">
        <v>7</v>
      </c>
      <c r="B105" t="s">
        <v>15</v>
      </c>
      <c r="C105">
        <v>3.03</v>
      </c>
      <c r="F105" t="s">
        <v>4</v>
      </c>
      <c r="G105" t="s">
        <v>5</v>
      </c>
      <c r="H105">
        <v>3.00007</v>
      </c>
      <c r="I105" t="s">
        <v>6</v>
      </c>
      <c r="K105">
        <v>2.7296999999999998</v>
      </c>
      <c r="L105">
        <v>0.13136</v>
      </c>
    </row>
    <row r="106" spans="1:12" x14ac:dyDescent="0.35">
      <c r="A106" t="s">
        <v>7</v>
      </c>
      <c r="B106" t="s">
        <v>15</v>
      </c>
      <c r="C106">
        <v>3.03</v>
      </c>
      <c r="F106" t="s">
        <v>4</v>
      </c>
      <c r="G106" t="s">
        <v>5</v>
      </c>
      <c r="H106">
        <v>3.00007</v>
      </c>
      <c r="I106" t="s">
        <v>9</v>
      </c>
      <c r="K106">
        <v>2.5329999999999999</v>
      </c>
      <c r="L106">
        <v>0.22316</v>
      </c>
    </row>
    <row r="108" spans="1:12" x14ac:dyDescent="0.35">
      <c r="A108" t="s">
        <v>7</v>
      </c>
      <c r="B108" t="s">
        <v>5</v>
      </c>
      <c r="C108">
        <v>3.1</v>
      </c>
      <c r="D108" t="s">
        <v>6</v>
      </c>
      <c r="F108" t="s">
        <v>7</v>
      </c>
      <c r="G108" t="s">
        <v>14</v>
      </c>
      <c r="H108">
        <v>3.0001000000000002</v>
      </c>
      <c r="K108">
        <v>4.6521999999999997</v>
      </c>
      <c r="L108">
        <v>0.23563999999999999</v>
      </c>
    </row>
    <row r="109" spans="1:12" x14ac:dyDescent="0.35">
      <c r="A109" t="s">
        <v>7</v>
      </c>
      <c r="B109" t="s">
        <v>5</v>
      </c>
      <c r="C109">
        <v>3.1</v>
      </c>
      <c r="D109" t="s">
        <v>9</v>
      </c>
      <c r="F109" t="s">
        <v>7</v>
      </c>
      <c r="G109" t="s">
        <v>14</v>
      </c>
      <c r="H109">
        <v>3.0001000000000002</v>
      </c>
      <c r="K109">
        <v>4.5217999999999998</v>
      </c>
      <c r="L109">
        <v>0.20133000000000001</v>
      </c>
    </row>
    <row r="111" spans="1:12" x14ac:dyDescent="0.35">
      <c r="A111" t="s">
        <v>7</v>
      </c>
      <c r="B111" t="s">
        <v>5</v>
      </c>
      <c r="C111">
        <v>3.03</v>
      </c>
      <c r="D111" t="s">
        <v>6</v>
      </c>
      <c r="F111" t="s">
        <v>7</v>
      </c>
      <c r="G111" t="s">
        <v>14</v>
      </c>
      <c r="H111">
        <v>3.0001000000000002</v>
      </c>
      <c r="K111">
        <v>4.5163000000000002</v>
      </c>
      <c r="L111">
        <v>0.27939999999999998</v>
      </c>
    </row>
    <row r="112" spans="1:12" x14ac:dyDescent="0.35">
      <c r="A112" t="s">
        <v>7</v>
      </c>
      <c r="B112" t="s">
        <v>5</v>
      </c>
      <c r="C112">
        <v>3.03</v>
      </c>
      <c r="D112" t="s">
        <v>9</v>
      </c>
      <c r="F112" t="s">
        <v>7</v>
      </c>
      <c r="G112" t="s">
        <v>14</v>
      </c>
      <c r="H112">
        <v>3.0001000000000002</v>
      </c>
      <c r="K112">
        <v>4.5510000000000002</v>
      </c>
      <c r="L112">
        <v>0.25252999999999998</v>
      </c>
    </row>
    <row r="114" spans="1:12" x14ac:dyDescent="0.35">
      <c r="A114" t="s">
        <v>7</v>
      </c>
      <c r="B114" t="s">
        <v>11</v>
      </c>
      <c r="C114">
        <v>3</v>
      </c>
      <c r="D114" t="s">
        <v>33</v>
      </c>
      <c r="F114" t="s">
        <v>7</v>
      </c>
      <c r="G114" t="s">
        <v>14</v>
      </c>
      <c r="H114">
        <v>3.0001000000000002</v>
      </c>
      <c r="K114">
        <v>4.5637999999999996</v>
      </c>
      <c r="L114">
        <v>0.10254000000000001</v>
      </c>
    </row>
    <row r="115" spans="1:12" x14ac:dyDescent="0.35">
      <c r="A115" t="s">
        <v>7</v>
      </c>
      <c r="B115" t="s">
        <v>11</v>
      </c>
      <c r="C115">
        <v>3</v>
      </c>
      <c r="D115" t="s">
        <v>34</v>
      </c>
      <c r="F115" t="s">
        <v>7</v>
      </c>
      <c r="G115" t="s">
        <v>14</v>
      </c>
      <c r="H115">
        <v>3.0001000000000002</v>
      </c>
      <c r="K115">
        <v>4.6368</v>
      </c>
      <c r="L115">
        <v>0.22561</v>
      </c>
    </row>
    <row r="121" spans="1:12" x14ac:dyDescent="0.35">
      <c r="A121" t="s">
        <v>4</v>
      </c>
      <c r="B121" t="s">
        <v>5</v>
      </c>
      <c r="C121">
        <v>3.13</v>
      </c>
      <c r="D121" t="s">
        <v>9</v>
      </c>
      <c r="F121" t="s">
        <v>7</v>
      </c>
      <c r="G121" t="s">
        <v>5</v>
      </c>
      <c r="H121">
        <v>3.0001869999999999</v>
      </c>
      <c r="I121" t="s">
        <v>9</v>
      </c>
      <c r="K121">
        <v>5.3281999999999998</v>
      </c>
      <c r="L121">
        <v>0.13370000000000001</v>
      </c>
    </row>
    <row r="122" spans="1:12" x14ac:dyDescent="0.35">
      <c r="A122" t="s">
        <v>4</v>
      </c>
      <c r="B122" t="s">
        <v>5</v>
      </c>
      <c r="C122">
        <v>3.1</v>
      </c>
      <c r="D122" t="s">
        <v>9</v>
      </c>
      <c r="F122" t="s">
        <v>7</v>
      </c>
      <c r="G122" t="s">
        <v>5</v>
      </c>
      <c r="H122">
        <v>3.0001869999999999</v>
      </c>
      <c r="I122" t="s">
        <v>9</v>
      </c>
      <c r="K122">
        <v>5.2480000000000002</v>
      </c>
      <c r="L122">
        <v>0.161</v>
      </c>
    </row>
    <row r="123" spans="1:12" x14ac:dyDescent="0.35">
      <c r="A123" t="s">
        <v>4</v>
      </c>
      <c r="B123" t="s">
        <v>5</v>
      </c>
      <c r="C123">
        <v>3.07</v>
      </c>
      <c r="D123" t="s">
        <v>9</v>
      </c>
      <c r="F123" t="s">
        <v>7</v>
      </c>
      <c r="G123" t="s">
        <v>5</v>
      </c>
      <c r="H123">
        <v>3.0001869999999999</v>
      </c>
      <c r="I123" t="s">
        <v>9</v>
      </c>
      <c r="K123">
        <v>5.0201000000000002</v>
      </c>
      <c r="L123">
        <v>0.10639</v>
      </c>
    </row>
    <row r="124" spans="1:12" x14ac:dyDescent="0.35">
      <c r="A124" t="s">
        <v>4</v>
      </c>
      <c r="B124" t="s">
        <v>5</v>
      </c>
      <c r="C124">
        <v>3.03</v>
      </c>
      <c r="D124" t="s">
        <v>9</v>
      </c>
      <c r="F124" t="s">
        <v>7</v>
      </c>
      <c r="G124" t="s">
        <v>5</v>
      </c>
      <c r="H124">
        <v>3.0001869999999999</v>
      </c>
      <c r="I124" t="s">
        <v>9</v>
      </c>
      <c r="K124">
        <v>5.1235999999999997</v>
      </c>
      <c r="L124">
        <v>0.15887999999999999</v>
      </c>
    </row>
    <row r="126" spans="1:12" x14ac:dyDescent="0.35">
      <c r="A126" t="s">
        <v>4</v>
      </c>
      <c r="B126" t="s">
        <v>14</v>
      </c>
      <c r="C126">
        <v>3.13</v>
      </c>
      <c r="F126" t="s">
        <v>7</v>
      </c>
      <c r="G126" t="s">
        <v>5</v>
      </c>
      <c r="H126">
        <v>3.0001869999999999</v>
      </c>
      <c r="I126" t="s">
        <v>9</v>
      </c>
      <c r="K126">
        <v>5.2888000000000002</v>
      </c>
      <c r="L126">
        <v>0.15734999999999999</v>
      </c>
    </row>
    <row r="127" spans="1:12" x14ac:dyDescent="0.35">
      <c r="A127" t="s">
        <v>4</v>
      </c>
      <c r="B127" t="s">
        <v>14</v>
      </c>
      <c r="C127">
        <v>3.1</v>
      </c>
      <c r="F127" t="s">
        <v>7</v>
      </c>
      <c r="G127" t="s">
        <v>5</v>
      </c>
      <c r="H127">
        <v>3.0001869999999999</v>
      </c>
      <c r="I127" t="s">
        <v>9</v>
      </c>
      <c r="K127">
        <v>5.0237999999999996</v>
      </c>
      <c r="L127">
        <v>0.22434000000000001</v>
      </c>
    </row>
    <row r="128" spans="1:12" x14ac:dyDescent="0.35">
      <c r="A128" t="s">
        <v>4</v>
      </c>
      <c r="B128" t="s">
        <v>14</v>
      </c>
      <c r="C128">
        <v>3.07</v>
      </c>
      <c r="F128" t="s">
        <v>7</v>
      </c>
      <c r="G128" t="s">
        <v>5</v>
      </c>
      <c r="H128">
        <v>3.0001869999999999</v>
      </c>
      <c r="I128" t="s">
        <v>9</v>
      </c>
      <c r="K128">
        <v>5.1223999999999998</v>
      </c>
      <c r="L128">
        <v>0.13650999999999999</v>
      </c>
    </row>
    <row r="129" spans="1:12" x14ac:dyDescent="0.35">
      <c r="A129" t="s">
        <v>4</v>
      </c>
      <c r="B129" t="s">
        <v>14</v>
      </c>
      <c r="C129">
        <v>3.03</v>
      </c>
      <c r="F129" t="s">
        <v>7</v>
      </c>
      <c r="G129" t="s">
        <v>5</v>
      </c>
      <c r="H129">
        <v>3.0001869999999999</v>
      </c>
      <c r="I129" t="s">
        <v>9</v>
      </c>
      <c r="K129">
        <v>5.1631999999999998</v>
      </c>
      <c r="L129">
        <v>0.218</v>
      </c>
    </row>
    <row r="130" spans="1:12" x14ac:dyDescent="0.35">
      <c r="A130" t="s">
        <v>4</v>
      </c>
      <c r="B130" t="s">
        <v>14</v>
      </c>
      <c r="C130">
        <v>3</v>
      </c>
      <c r="F130" t="s">
        <v>7</v>
      </c>
      <c r="G130" t="s">
        <v>5</v>
      </c>
      <c r="H130">
        <v>3.0001869999999999</v>
      </c>
      <c r="I130" t="s">
        <v>9</v>
      </c>
      <c r="K130">
        <v>5.2698999999999998</v>
      </c>
      <c r="L130">
        <v>0.29527999999999999</v>
      </c>
    </row>
    <row r="131" spans="1:12" x14ac:dyDescent="0.35">
      <c r="A131" t="s">
        <v>4</v>
      </c>
      <c r="B131" t="s">
        <v>14</v>
      </c>
      <c r="C131">
        <v>2.97</v>
      </c>
      <c r="F131" t="s">
        <v>7</v>
      </c>
      <c r="G131" t="s">
        <v>5</v>
      </c>
      <c r="H131">
        <v>3.0001869999999999</v>
      </c>
      <c r="I131" t="s">
        <v>9</v>
      </c>
      <c r="K131">
        <v>5.3994</v>
      </c>
      <c r="L131">
        <v>0.10789</v>
      </c>
    </row>
    <row r="133" spans="1:12" x14ac:dyDescent="0.35">
      <c r="A133" t="s">
        <v>4</v>
      </c>
      <c r="B133" t="s">
        <v>15</v>
      </c>
      <c r="C133">
        <v>3.13</v>
      </c>
      <c r="F133" t="s">
        <v>7</v>
      </c>
      <c r="G133" t="s">
        <v>5</v>
      </c>
      <c r="H133">
        <v>3.0001869999999999</v>
      </c>
      <c r="I133" t="s">
        <v>9</v>
      </c>
      <c r="K133">
        <v>4.8834999999999997</v>
      </c>
      <c r="L133">
        <v>0.1132</v>
      </c>
    </row>
    <row r="134" spans="1:12" x14ac:dyDescent="0.35">
      <c r="A134" t="s">
        <v>4</v>
      </c>
      <c r="B134" t="s">
        <v>15</v>
      </c>
      <c r="C134">
        <v>3.1</v>
      </c>
      <c r="F134" t="s">
        <v>7</v>
      </c>
      <c r="G134" t="s">
        <v>5</v>
      </c>
      <c r="H134">
        <v>3.0001869999999999</v>
      </c>
      <c r="I134" t="s">
        <v>9</v>
      </c>
      <c r="K134">
        <v>5.0533999999999999</v>
      </c>
      <c r="L134">
        <v>0.12529999999999999</v>
      </c>
    </row>
    <row r="135" spans="1:12" x14ac:dyDescent="0.35">
      <c r="A135" t="s">
        <v>4</v>
      </c>
      <c r="B135" t="s">
        <v>15</v>
      </c>
      <c r="C135">
        <v>3.07</v>
      </c>
      <c r="F135" t="s">
        <v>7</v>
      </c>
      <c r="G135" t="s">
        <v>5</v>
      </c>
      <c r="H135">
        <v>3.0001869999999999</v>
      </c>
      <c r="I135" t="s">
        <v>9</v>
      </c>
      <c r="K135">
        <v>4.7542999999999997</v>
      </c>
      <c r="L135">
        <v>0.22572999999999999</v>
      </c>
    </row>
    <row r="136" spans="1:12" x14ac:dyDescent="0.35">
      <c r="A136" t="s">
        <v>4</v>
      </c>
      <c r="B136" t="s">
        <v>15</v>
      </c>
      <c r="C136">
        <v>3.03</v>
      </c>
      <c r="F136" t="s">
        <v>7</v>
      </c>
      <c r="G136" t="s">
        <v>5</v>
      </c>
      <c r="H136">
        <v>3.0001869999999999</v>
      </c>
      <c r="I136" t="s">
        <v>9</v>
      </c>
      <c r="K136">
        <v>4.8871000000000002</v>
      </c>
      <c r="L136">
        <v>8.2430000000000003E-2</v>
      </c>
    </row>
    <row r="137" spans="1:12" x14ac:dyDescent="0.35">
      <c r="A137" t="s">
        <v>4</v>
      </c>
      <c r="B137" t="s">
        <v>15</v>
      </c>
      <c r="C137">
        <v>3</v>
      </c>
      <c r="F137" t="s">
        <v>7</v>
      </c>
      <c r="G137" t="s">
        <v>5</v>
      </c>
      <c r="H137">
        <v>3.0001869999999999</v>
      </c>
      <c r="I137" t="s">
        <v>9</v>
      </c>
      <c r="K137">
        <v>4.7244000000000002</v>
      </c>
      <c r="L137">
        <v>9.6363000000000004E-2</v>
      </c>
    </row>
    <row r="138" spans="1:12" x14ac:dyDescent="0.35">
      <c r="A138" t="s">
        <v>4</v>
      </c>
      <c r="B138" t="s">
        <v>15</v>
      </c>
      <c r="C138">
        <v>2.97</v>
      </c>
      <c r="F138" t="s">
        <v>7</v>
      </c>
      <c r="G138" t="s">
        <v>5</v>
      </c>
      <c r="H138">
        <v>3.0001869999999999</v>
      </c>
      <c r="I138" t="s">
        <v>9</v>
      </c>
      <c r="K138">
        <v>4.6426999999999996</v>
      </c>
      <c r="L138">
        <v>0.16475000000000001</v>
      </c>
    </row>
    <row r="140" spans="1:12" x14ac:dyDescent="0.35">
      <c r="A140" t="s">
        <v>4</v>
      </c>
      <c r="B140" t="s">
        <v>11</v>
      </c>
      <c r="C140">
        <v>3</v>
      </c>
      <c r="D140" t="s">
        <v>13</v>
      </c>
      <c r="F140" t="s">
        <v>7</v>
      </c>
      <c r="G140" t="s">
        <v>5</v>
      </c>
      <c r="H140">
        <v>3.0001869999999999</v>
      </c>
      <c r="I140" t="s">
        <v>9</v>
      </c>
      <c r="K140">
        <v>5.2020999999999997</v>
      </c>
      <c r="L140">
        <v>0.20227999999999999</v>
      </c>
    </row>
    <row r="141" spans="1:12" x14ac:dyDescent="0.35">
      <c r="A141" t="s">
        <v>4</v>
      </c>
      <c r="B141" t="s">
        <v>11</v>
      </c>
      <c r="C141">
        <v>2.97</v>
      </c>
      <c r="D141" t="s">
        <v>13</v>
      </c>
      <c r="F141" t="s">
        <v>7</v>
      </c>
      <c r="G141" t="s">
        <v>5</v>
      </c>
      <c r="H141">
        <v>3.0001869999999999</v>
      </c>
      <c r="I141" t="s">
        <v>9</v>
      </c>
      <c r="K141">
        <v>4.7167000000000003</v>
      </c>
      <c r="L141">
        <v>0.23163</v>
      </c>
    </row>
    <row r="143" spans="1:12" x14ac:dyDescent="0.35">
      <c r="A143" t="s">
        <v>4</v>
      </c>
      <c r="B143" t="s">
        <v>10</v>
      </c>
      <c r="C143">
        <v>3.07</v>
      </c>
      <c r="D143" t="s">
        <v>9</v>
      </c>
      <c r="F143" t="s">
        <v>7</v>
      </c>
      <c r="G143" t="s">
        <v>5</v>
      </c>
      <c r="H143">
        <v>3.0001869999999999</v>
      </c>
      <c r="I143" t="s">
        <v>9</v>
      </c>
      <c r="K143">
        <v>5.0762999999999998</v>
      </c>
      <c r="L143">
        <v>0.18221000000000001</v>
      </c>
    </row>
    <row r="144" spans="1:12" x14ac:dyDescent="0.35">
      <c r="A144" t="s">
        <v>4</v>
      </c>
      <c r="B144" t="s">
        <v>10</v>
      </c>
      <c r="C144">
        <v>3.03</v>
      </c>
      <c r="D144" t="s">
        <v>9</v>
      </c>
      <c r="F144" t="s">
        <v>7</v>
      </c>
      <c r="G144" t="s">
        <v>5</v>
      </c>
      <c r="H144">
        <v>3.0001869999999999</v>
      </c>
      <c r="I144" t="s">
        <v>9</v>
      </c>
      <c r="K144">
        <v>4.6891999999999996</v>
      </c>
      <c r="L144">
        <v>0.21482000000000001</v>
      </c>
    </row>
    <row r="145" spans="1:12" x14ac:dyDescent="0.35">
      <c r="A145" t="s">
        <v>4</v>
      </c>
      <c r="B145" t="s">
        <v>10</v>
      </c>
      <c r="C145">
        <v>3</v>
      </c>
      <c r="D145" t="s">
        <v>9</v>
      </c>
      <c r="F145" t="s">
        <v>7</v>
      </c>
      <c r="G145" t="s">
        <v>5</v>
      </c>
      <c r="H145">
        <v>3.0001869999999999</v>
      </c>
      <c r="I145" t="s">
        <v>9</v>
      </c>
      <c r="K145">
        <v>4.7672999999999996</v>
      </c>
      <c r="L145">
        <v>0.17530000000000001</v>
      </c>
    </row>
    <row r="146" spans="1:12" x14ac:dyDescent="0.35">
      <c r="A146" t="s">
        <v>4</v>
      </c>
      <c r="B146" t="s">
        <v>10</v>
      </c>
      <c r="C146">
        <v>2.97</v>
      </c>
      <c r="D146" t="s">
        <v>9</v>
      </c>
      <c r="F146" t="s">
        <v>7</v>
      </c>
      <c r="G146" t="s">
        <v>5</v>
      </c>
      <c r="H146">
        <v>3.0001869999999999</v>
      </c>
      <c r="I146" t="s">
        <v>9</v>
      </c>
      <c r="K146">
        <v>4.6721000000000004</v>
      </c>
      <c r="L146">
        <v>0.23183000000000001</v>
      </c>
    </row>
    <row r="148" spans="1:12" x14ac:dyDescent="0.35">
      <c r="A148" t="s">
        <v>4</v>
      </c>
      <c r="B148" t="s">
        <v>5</v>
      </c>
      <c r="C148">
        <v>3.13</v>
      </c>
      <c r="D148" t="s">
        <v>9</v>
      </c>
      <c r="F148" t="s">
        <v>7</v>
      </c>
      <c r="G148" t="s">
        <v>5</v>
      </c>
      <c r="H148">
        <v>3.0001199999999999</v>
      </c>
      <c r="I148" t="s">
        <v>9</v>
      </c>
      <c r="K148">
        <v>4.9325999999999999</v>
      </c>
      <c r="L148">
        <v>0.15708</v>
      </c>
    </row>
    <row r="149" spans="1:12" x14ac:dyDescent="0.35">
      <c r="A149" t="s">
        <v>4</v>
      </c>
      <c r="B149" t="s">
        <v>5</v>
      </c>
      <c r="C149">
        <v>3.1</v>
      </c>
      <c r="D149" t="s">
        <v>9</v>
      </c>
      <c r="F149" t="s">
        <v>7</v>
      </c>
      <c r="G149" t="s">
        <v>5</v>
      </c>
      <c r="H149">
        <v>3.0001199999999999</v>
      </c>
      <c r="I149" t="s">
        <v>9</v>
      </c>
      <c r="K149">
        <v>5.0423</v>
      </c>
      <c r="L149">
        <v>0.14513000000000001</v>
      </c>
    </row>
    <row r="150" spans="1:12" x14ac:dyDescent="0.35">
      <c r="A150" t="s">
        <v>4</v>
      </c>
      <c r="B150" t="s">
        <v>5</v>
      </c>
      <c r="C150">
        <v>3.07</v>
      </c>
      <c r="D150" t="s">
        <v>9</v>
      </c>
      <c r="F150" t="s">
        <v>7</v>
      </c>
      <c r="G150" t="s">
        <v>5</v>
      </c>
      <c r="H150">
        <v>3.0001199999999999</v>
      </c>
      <c r="I150" t="s">
        <v>9</v>
      </c>
      <c r="K150">
        <v>4.6673999999999998</v>
      </c>
      <c r="L150">
        <v>0.20721999999999999</v>
      </c>
    </row>
    <row r="151" spans="1:12" x14ac:dyDescent="0.35">
      <c r="A151" t="s">
        <v>4</v>
      </c>
      <c r="B151" t="s">
        <v>5</v>
      </c>
      <c r="C151">
        <v>3.03</v>
      </c>
      <c r="D151" t="s">
        <v>9</v>
      </c>
      <c r="F151" t="s">
        <v>7</v>
      </c>
      <c r="G151" t="s">
        <v>5</v>
      </c>
      <c r="H151">
        <v>3.0001199999999999</v>
      </c>
      <c r="I151" t="s">
        <v>9</v>
      </c>
      <c r="K151">
        <v>5.0427999999999997</v>
      </c>
      <c r="L151">
        <v>0.16897999999999999</v>
      </c>
    </row>
    <row r="153" spans="1:12" x14ac:dyDescent="0.35">
      <c r="A153" t="s">
        <v>4</v>
      </c>
      <c r="B153" t="s">
        <v>14</v>
      </c>
      <c r="C153">
        <v>3.13</v>
      </c>
      <c r="F153" t="s">
        <v>7</v>
      </c>
      <c r="G153" t="s">
        <v>5</v>
      </c>
      <c r="H153">
        <v>3.0001199999999999</v>
      </c>
      <c r="I153" t="s">
        <v>9</v>
      </c>
      <c r="K153">
        <v>4.9090999999999996</v>
      </c>
      <c r="L153">
        <v>0.15137</v>
      </c>
    </row>
    <row r="154" spans="1:12" x14ac:dyDescent="0.35">
      <c r="A154" t="s">
        <v>4</v>
      </c>
      <c r="B154" t="s">
        <v>14</v>
      </c>
      <c r="C154">
        <v>3.1</v>
      </c>
      <c r="F154" t="s">
        <v>7</v>
      </c>
      <c r="G154" t="s">
        <v>5</v>
      </c>
      <c r="H154">
        <v>3.0001199999999999</v>
      </c>
      <c r="I154" t="s">
        <v>9</v>
      </c>
      <c r="K154">
        <v>4.8955000000000002</v>
      </c>
      <c r="L154">
        <v>0.12576000000000001</v>
      </c>
    </row>
    <row r="155" spans="1:12" x14ac:dyDescent="0.35">
      <c r="A155" t="s">
        <v>4</v>
      </c>
      <c r="B155" t="s">
        <v>14</v>
      </c>
      <c r="C155">
        <v>3.07</v>
      </c>
      <c r="F155" t="s">
        <v>7</v>
      </c>
      <c r="G155" t="s">
        <v>5</v>
      </c>
      <c r="H155">
        <v>3.0001199999999999</v>
      </c>
      <c r="I155" t="s">
        <v>9</v>
      </c>
      <c r="K155">
        <v>4.891</v>
      </c>
      <c r="L155">
        <v>0.19830999999999999</v>
      </c>
    </row>
    <row r="156" spans="1:12" x14ac:dyDescent="0.35">
      <c r="A156" t="s">
        <v>4</v>
      </c>
      <c r="B156" t="s">
        <v>14</v>
      </c>
      <c r="C156">
        <v>3.03</v>
      </c>
      <c r="F156" t="s">
        <v>7</v>
      </c>
      <c r="G156" t="s">
        <v>5</v>
      </c>
      <c r="H156">
        <v>3.0001199999999999</v>
      </c>
      <c r="I156" t="s">
        <v>9</v>
      </c>
      <c r="K156">
        <v>4.9996999999999998</v>
      </c>
      <c r="L156">
        <v>0.11033999999999999</v>
      </c>
    </row>
    <row r="157" spans="1:12" x14ac:dyDescent="0.35">
      <c r="A157" t="s">
        <v>4</v>
      </c>
      <c r="B157" t="s">
        <v>14</v>
      </c>
      <c r="C157">
        <v>3</v>
      </c>
      <c r="F157" t="s">
        <v>7</v>
      </c>
      <c r="G157" t="s">
        <v>5</v>
      </c>
      <c r="H157">
        <v>3.0001199999999999</v>
      </c>
      <c r="I157" t="s">
        <v>9</v>
      </c>
      <c r="K157">
        <v>4.8544</v>
      </c>
      <c r="L157">
        <v>0.27239999999999998</v>
      </c>
    </row>
    <row r="158" spans="1:12" x14ac:dyDescent="0.35">
      <c r="A158" t="s">
        <v>4</v>
      </c>
      <c r="B158" t="s">
        <v>14</v>
      </c>
      <c r="C158">
        <v>2.97</v>
      </c>
      <c r="F158" t="s">
        <v>7</v>
      </c>
      <c r="G158" t="s">
        <v>5</v>
      </c>
      <c r="H158">
        <v>3.0001199999999999</v>
      </c>
      <c r="I158" t="s">
        <v>9</v>
      </c>
      <c r="K158">
        <v>5.0189000000000004</v>
      </c>
      <c r="L158">
        <v>0.17532</v>
      </c>
    </row>
    <row r="160" spans="1:12" x14ac:dyDescent="0.35">
      <c r="A160" t="s">
        <v>4</v>
      </c>
      <c r="B160" t="s">
        <v>15</v>
      </c>
      <c r="C160">
        <v>3.13</v>
      </c>
      <c r="F160" t="s">
        <v>7</v>
      </c>
      <c r="G160" t="s">
        <v>5</v>
      </c>
      <c r="H160">
        <v>3.0001199999999999</v>
      </c>
      <c r="I160" t="s">
        <v>9</v>
      </c>
      <c r="K160">
        <v>4.6807999999999996</v>
      </c>
      <c r="L160">
        <v>0.11219999999999999</v>
      </c>
    </row>
    <row r="161" spans="1:12" x14ac:dyDescent="0.35">
      <c r="A161" t="s">
        <v>4</v>
      </c>
      <c r="B161" t="s">
        <v>15</v>
      </c>
      <c r="C161">
        <v>3.1</v>
      </c>
      <c r="F161" t="s">
        <v>7</v>
      </c>
      <c r="G161" t="s">
        <v>5</v>
      </c>
      <c r="H161">
        <v>3.0001199999999999</v>
      </c>
      <c r="I161" t="s">
        <v>9</v>
      </c>
      <c r="K161">
        <v>4.6948999999999996</v>
      </c>
      <c r="L161">
        <v>0.22267999999999999</v>
      </c>
    </row>
    <row r="162" spans="1:12" x14ac:dyDescent="0.35">
      <c r="A162" t="s">
        <v>4</v>
      </c>
      <c r="B162" t="s">
        <v>15</v>
      </c>
      <c r="C162">
        <v>3.07</v>
      </c>
      <c r="F162" t="s">
        <v>7</v>
      </c>
      <c r="G162" t="s">
        <v>5</v>
      </c>
      <c r="H162">
        <v>3.0001199999999999</v>
      </c>
      <c r="I162" t="s">
        <v>9</v>
      </c>
      <c r="K162">
        <v>4.4493999999999998</v>
      </c>
      <c r="L162">
        <v>0.26985999999999999</v>
      </c>
    </row>
    <row r="163" spans="1:12" x14ac:dyDescent="0.35">
      <c r="A163" t="s">
        <v>4</v>
      </c>
      <c r="B163" t="s">
        <v>15</v>
      </c>
      <c r="C163">
        <v>3.03</v>
      </c>
      <c r="F163" t="s">
        <v>7</v>
      </c>
      <c r="G163" t="s">
        <v>5</v>
      </c>
      <c r="H163">
        <v>3.0001199999999999</v>
      </c>
      <c r="I163" t="s">
        <v>9</v>
      </c>
      <c r="K163">
        <v>4.5617000000000001</v>
      </c>
      <c r="L163">
        <v>8.4972000000000006E-2</v>
      </c>
    </row>
    <row r="164" spans="1:12" x14ac:dyDescent="0.35">
      <c r="A164" t="s">
        <v>4</v>
      </c>
      <c r="B164" t="s">
        <v>15</v>
      </c>
      <c r="C164">
        <v>3</v>
      </c>
      <c r="F164" t="s">
        <v>7</v>
      </c>
      <c r="G164" t="s">
        <v>5</v>
      </c>
      <c r="H164">
        <v>3.0001199999999999</v>
      </c>
      <c r="I164" t="s">
        <v>9</v>
      </c>
      <c r="K164">
        <v>4.4202000000000004</v>
      </c>
      <c r="L164">
        <v>9.1984999999999997E-2</v>
      </c>
    </row>
    <row r="165" spans="1:12" x14ac:dyDescent="0.35">
      <c r="A165" t="s">
        <v>4</v>
      </c>
      <c r="B165" t="s">
        <v>15</v>
      </c>
      <c r="C165">
        <v>2.97</v>
      </c>
      <c r="F165" t="s">
        <v>7</v>
      </c>
      <c r="G165" t="s">
        <v>5</v>
      </c>
      <c r="H165">
        <v>3.0001199999999999</v>
      </c>
      <c r="I165" t="s">
        <v>9</v>
      </c>
      <c r="K165">
        <v>4.2971000000000004</v>
      </c>
      <c r="L165">
        <v>9.5216999999999996E-2</v>
      </c>
    </row>
    <row r="167" spans="1:12" x14ac:dyDescent="0.35">
      <c r="A167" t="s">
        <v>4</v>
      </c>
      <c r="B167" t="s">
        <v>11</v>
      </c>
      <c r="C167">
        <v>3</v>
      </c>
      <c r="D167" t="s">
        <v>13</v>
      </c>
      <c r="F167" t="s">
        <v>7</v>
      </c>
      <c r="G167" t="s">
        <v>5</v>
      </c>
      <c r="H167">
        <v>3.0001199999999999</v>
      </c>
      <c r="I167" t="s">
        <v>9</v>
      </c>
      <c r="K167">
        <v>5.0560999999999998</v>
      </c>
      <c r="L167">
        <v>0.15501000000000001</v>
      </c>
    </row>
    <row r="168" spans="1:12" x14ac:dyDescent="0.35">
      <c r="A168" t="s">
        <v>4</v>
      </c>
      <c r="B168" t="s">
        <v>11</v>
      </c>
      <c r="C168">
        <v>2.97</v>
      </c>
      <c r="D168" t="s">
        <v>13</v>
      </c>
      <c r="F168" t="s">
        <v>7</v>
      </c>
      <c r="G168" t="s">
        <v>5</v>
      </c>
      <c r="H168">
        <v>3.0001199999999999</v>
      </c>
      <c r="I168" t="s">
        <v>9</v>
      </c>
      <c r="K168">
        <v>4.3284000000000002</v>
      </c>
      <c r="L168">
        <v>0.11139</v>
      </c>
    </row>
    <row r="170" spans="1:12" x14ac:dyDescent="0.35">
      <c r="A170" t="s">
        <v>4</v>
      </c>
      <c r="B170" t="s">
        <v>10</v>
      </c>
      <c r="C170">
        <v>3.07</v>
      </c>
      <c r="D170" t="s">
        <v>9</v>
      </c>
      <c r="F170" t="s">
        <v>7</v>
      </c>
      <c r="G170" t="s">
        <v>5</v>
      </c>
      <c r="H170">
        <v>3.0001199999999999</v>
      </c>
      <c r="I170" t="s">
        <v>9</v>
      </c>
      <c r="K170">
        <v>4.7469000000000001</v>
      </c>
      <c r="L170">
        <v>0.17218</v>
      </c>
    </row>
    <row r="171" spans="1:12" x14ac:dyDescent="0.35">
      <c r="A171" t="s">
        <v>4</v>
      </c>
      <c r="B171" t="s">
        <v>10</v>
      </c>
      <c r="C171">
        <v>3.03</v>
      </c>
      <c r="D171" t="s">
        <v>9</v>
      </c>
      <c r="F171" t="s">
        <v>7</v>
      </c>
      <c r="G171" t="s">
        <v>5</v>
      </c>
      <c r="H171">
        <v>3.0001199999999999</v>
      </c>
      <c r="I171" t="s">
        <v>9</v>
      </c>
      <c r="K171">
        <v>4.4846000000000004</v>
      </c>
      <c r="L171">
        <v>0.23255000000000001</v>
      </c>
    </row>
    <row r="172" spans="1:12" x14ac:dyDescent="0.35">
      <c r="A172" t="s">
        <v>4</v>
      </c>
      <c r="B172" t="s">
        <v>10</v>
      </c>
      <c r="C172">
        <v>3</v>
      </c>
      <c r="D172" t="s">
        <v>9</v>
      </c>
      <c r="F172" t="s">
        <v>7</v>
      </c>
      <c r="G172" t="s">
        <v>5</v>
      </c>
      <c r="H172">
        <v>3.0001199999999999</v>
      </c>
      <c r="I172" t="s">
        <v>9</v>
      </c>
      <c r="K172">
        <v>4.3875000000000002</v>
      </c>
      <c r="L172">
        <v>0.18704999999999999</v>
      </c>
    </row>
    <row r="173" spans="1:12" x14ac:dyDescent="0.35">
      <c r="A173" t="s">
        <v>4</v>
      </c>
      <c r="B173" t="s">
        <v>10</v>
      </c>
      <c r="C173">
        <v>2.97</v>
      </c>
      <c r="D173" t="s">
        <v>9</v>
      </c>
      <c r="F173" t="s">
        <v>7</v>
      </c>
      <c r="G173" t="s">
        <v>5</v>
      </c>
      <c r="H173">
        <v>3.0001199999999999</v>
      </c>
      <c r="I173" t="s">
        <v>9</v>
      </c>
      <c r="K173">
        <v>4.5430000000000001</v>
      </c>
      <c r="L173">
        <v>0.27266000000000001</v>
      </c>
    </row>
    <row r="175" spans="1:12" x14ac:dyDescent="0.35">
      <c r="A175" t="s">
        <v>4</v>
      </c>
      <c r="B175" t="s">
        <v>5</v>
      </c>
      <c r="C175">
        <v>3.13</v>
      </c>
      <c r="D175" t="s">
        <v>9</v>
      </c>
      <c r="F175" t="s">
        <v>7</v>
      </c>
      <c r="G175" t="s">
        <v>5</v>
      </c>
      <c r="H175">
        <v>3.0000599999999999</v>
      </c>
      <c r="I175" t="s">
        <v>9</v>
      </c>
      <c r="K175">
        <v>3.4394999999999998</v>
      </c>
      <c r="L175">
        <v>0.16064000000000001</v>
      </c>
    </row>
    <row r="176" spans="1:12" x14ac:dyDescent="0.35">
      <c r="A176" t="s">
        <v>4</v>
      </c>
      <c r="B176" t="s">
        <v>5</v>
      </c>
      <c r="C176">
        <v>3.1</v>
      </c>
      <c r="D176" t="s">
        <v>9</v>
      </c>
      <c r="F176" t="s">
        <v>7</v>
      </c>
      <c r="G176" t="s">
        <v>5</v>
      </c>
      <c r="H176">
        <v>3.0000599999999999</v>
      </c>
      <c r="I176" t="s">
        <v>9</v>
      </c>
      <c r="K176">
        <v>3.4521000000000002</v>
      </c>
      <c r="L176">
        <v>0.16317000000000001</v>
      </c>
    </row>
    <row r="177" spans="1:12" x14ac:dyDescent="0.35">
      <c r="A177" t="s">
        <v>4</v>
      </c>
      <c r="B177" t="s">
        <v>5</v>
      </c>
      <c r="C177">
        <v>3.07</v>
      </c>
      <c r="D177" t="s">
        <v>9</v>
      </c>
      <c r="F177" t="s">
        <v>7</v>
      </c>
      <c r="G177" t="s">
        <v>5</v>
      </c>
      <c r="H177">
        <v>3.0000599999999999</v>
      </c>
      <c r="I177" t="s">
        <v>9</v>
      </c>
      <c r="K177">
        <v>3.3073000000000001</v>
      </c>
      <c r="L177">
        <v>0.22037999999999999</v>
      </c>
    </row>
    <row r="178" spans="1:12" x14ac:dyDescent="0.35">
      <c r="A178" t="s">
        <v>4</v>
      </c>
      <c r="B178" t="s">
        <v>5</v>
      </c>
      <c r="C178">
        <v>3.03</v>
      </c>
      <c r="D178" t="s">
        <v>9</v>
      </c>
      <c r="F178" t="s">
        <v>7</v>
      </c>
      <c r="G178" t="s">
        <v>5</v>
      </c>
      <c r="H178">
        <v>3.0000599999999999</v>
      </c>
      <c r="I178" t="s">
        <v>9</v>
      </c>
      <c r="K178">
        <v>3.5213999999999999</v>
      </c>
      <c r="L178">
        <v>0.15898000000000001</v>
      </c>
    </row>
    <row r="180" spans="1:12" x14ac:dyDescent="0.35">
      <c r="A180" t="s">
        <v>4</v>
      </c>
      <c r="B180" t="s">
        <v>14</v>
      </c>
      <c r="C180">
        <v>3.13</v>
      </c>
      <c r="F180" t="s">
        <v>7</v>
      </c>
      <c r="G180" t="s">
        <v>5</v>
      </c>
      <c r="H180">
        <v>3.0000599999999999</v>
      </c>
      <c r="I180" t="s">
        <v>9</v>
      </c>
      <c r="K180">
        <v>3.4651999999999998</v>
      </c>
      <c r="L180">
        <v>0.1406</v>
      </c>
    </row>
    <row r="181" spans="1:12" x14ac:dyDescent="0.35">
      <c r="A181" t="s">
        <v>4</v>
      </c>
      <c r="B181" t="s">
        <v>14</v>
      </c>
      <c r="C181">
        <v>3.1</v>
      </c>
      <c r="F181" t="s">
        <v>7</v>
      </c>
      <c r="G181" t="s">
        <v>5</v>
      </c>
      <c r="H181">
        <v>3.0000599999999999</v>
      </c>
      <c r="I181" t="s">
        <v>9</v>
      </c>
      <c r="K181">
        <v>3.4401999999999999</v>
      </c>
      <c r="L181">
        <v>0.11488</v>
      </c>
    </row>
    <row r="182" spans="1:12" x14ac:dyDescent="0.35">
      <c r="A182" t="s">
        <v>4</v>
      </c>
      <c r="B182" t="s">
        <v>14</v>
      </c>
      <c r="C182">
        <v>3.07</v>
      </c>
      <c r="F182" t="s">
        <v>7</v>
      </c>
      <c r="G182" t="s">
        <v>5</v>
      </c>
      <c r="H182">
        <v>3.0000599999999999</v>
      </c>
      <c r="I182" t="s">
        <v>9</v>
      </c>
      <c r="K182">
        <v>3.4794</v>
      </c>
      <c r="L182">
        <v>0.18879000000000001</v>
      </c>
    </row>
    <row r="183" spans="1:12" x14ac:dyDescent="0.35">
      <c r="A183" t="s">
        <v>4</v>
      </c>
      <c r="B183" t="s">
        <v>14</v>
      </c>
      <c r="C183">
        <v>3.03</v>
      </c>
      <c r="F183" t="s">
        <v>7</v>
      </c>
      <c r="G183" t="s">
        <v>5</v>
      </c>
      <c r="H183">
        <v>3.0000599999999999</v>
      </c>
      <c r="I183" t="s">
        <v>9</v>
      </c>
      <c r="K183">
        <v>3.5848</v>
      </c>
      <c r="L183">
        <v>0.10808</v>
      </c>
    </row>
    <row r="184" spans="1:12" x14ac:dyDescent="0.35">
      <c r="A184" t="s">
        <v>4</v>
      </c>
      <c r="B184" t="s">
        <v>14</v>
      </c>
      <c r="C184">
        <v>3</v>
      </c>
      <c r="F184" t="s">
        <v>7</v>
      </c>
      <c r="G184" t="s">
        <v>5</v>
      </c>
      <c r="H184">
        <v>3.0000599999999999</v>
      </c>
      <c r="I184" t="s">
        <v>9</v>
      </c>
      <c r="K184">
        <v>3.4828000000000001</v>
      </c>
      <c r="L184">
        <v>0.27572999999999998</v>
      </c>
    </row>
    <row r="185" spans="1:12" x14ac:dyDescent="0.35">
      <c r="A185" t="s">
        <v>4</v>
      </c>
      <c r="B185" t="s">
        <v>14</v>
      </c>
      <c r="C185">
        <v>2.97</v>
      </c>
      <c r="F185" t="s">
        <v>7</v>
      </c>
      <c r="G185" t="s">
        <v>5</v>
      </c>
      <c r="H185">
        <v>3.0000599999999999</v>
      </c>
      <c r="I185" t="s">
        <v>9</v>
      </c>
      <c r="K185">
        <v>3.5001000000000002</v>
      </c>
      <c r="L185">
        <v>0.16896</v>
      </c>
    </row>
    <row r="187" spans="1:12" x14ac:dyDescent="0.35">
      <c r="A187" t="s">
        <v>4</v>
      </c>
      <c r="B187" t="s">
        <v>15</v>
      </c>
      <c r="C187">
        <v>3.13</v>
      </c>
      <c r="F187" t="s">
        <v>7</v>
      </c>
      <c r="G187" t="s">
        <v>5</v>
      </c>
      <c r="H187">
        <v>3.0000599999999999</v>
      </c>
      <c r="I187" t="s">
        <v>9</v>
      </c>
      <c r="K187">
        <v>3.2345999999999999</v>
      </c>
      <c r="L187">
        <v>0.1061</v>
      </c>
    </row>
    <row r="188" spans="1:12" x14ac:dyDescent="0.35">
      <c r="A188" t="s">
        <v>4</v>
      </c>
      <c r="B188" t="s">
        <v>15</v>
      </c>
      <c r="C188">
        <v>3.1</v>
      </c>
      <c r="F188" t="s">
        <v>7</v>
      </c>
      <c r="G188" t="s">
        <v>5</v>
      </c>
      <c r="H188">
        <v>3.0000599999999999</v>
      </c>
      <c r="I188" t="s">
        <v>9</v>
      </c>
      <c r="K188">
        <v>3.2669000000000001</v>
      </c>
      <c r="L188">
        <v>0.22298999999999999</v>
      </c>
    </row>
    <row r="189" spans="1:12" x14ac:dyDescent="0.35">
      <c r="A189" t="s">
        <v>4</v>
      </c>
      <c r="B189" t="s">
        <v>15</v>
      </c>
      <c r="C189">
        <v>3.07</v>
      </c>
      <c r="F189" t="s">
        <v>7</v>
      </c>
      <c r="G189" t="s">
        <v>5</v>
      </c>
      <c r="H189">
        <v>3.0000599999999999</v>
      </c>
      <c r="I189" t="s">
        <v>9</v>
      </c>
      <c r="K189">
        <v>3.1271</v>
      </c>
      <c r="L189">
        <v>0.27311999999999997</v>
      </c>
    </row>
    <row r="190" spans="1:12" x14ac:dyDescent="0.35">
      <c r="A190" t="s">
        <v>4</v>
      </c>
      <c r="B190" t="s">
        <v>15</v>
      </c>
      <c r="C190">
        <v>3.03</v>
      </c>
      <c r="F190" t="s">
        <v>7</v>
      </c>
      <c r="G190" t="s">
        <v>5</v>
      </c>
      <c r="H190">
        <v>3.0000599999999999</v>
      </c>
      <c r="I190" t="s">
        <v>9</v>
      </c>
      <c r="K190">
        <v>3.1907000000000001</v>
      </c>
      <c r="L190">
        <v>9.0865000000000001E-2</v>
      </c>
    </row>
    <row r="191" spans="1:12" x14ac:dyDescent="0.35">
      <c r="A191" t="s">
        <v>4</v>
      </c>
      <c r="B191" t="s">
        <v>15</v>
      </c>
      <c r="C191">
        <v>3</v>
      </c>
      <c r="F191" t="s">
        <v>7</v>
      </c>
      <c r="G191" t="s">
        <v>5</v>
      </c>
      <c r="H191">
        <v>3.0000599999999999</v>
      </c>
      <c r="I191" t="s">
        <v>9</v>
      </c>
      <c r="K191">
        <v>3.0520999999999998</v>
      </c>
      <c r="L191">
        <v>8.6437E-2</v>
      </c>
    </row>
    <row r="192" spans="1:12" x14ac:dyDescent="0.35">
      <c r="A192" t="s">
        <v>4</v>
      </c>
      <c r="B192" t="s">
        <v>15</v>
      </c>
      <c r="C192">
        <v>2.97</v>
      </c>
      <c r="F192" t="s">
        <v>7</v>
      </c>
      <c r="G192" t="s">
        <v>5</v>
      </c>
      <c r="H192">
        <v>3.0000599999999999</v>
      </c>
      <c r="I192" t="s">
        <v>9</v>
      </c>
      <c r="K192">
        <v>2.9577</v>
      </c>
      <c r="L192">
        <v>0.10151</v>
      </c>
    </row>
    <row r="194" spans="1:12" x14ac:dyDescent="0.35">
      <c r="A194" t="s">
        <v>4</v>
      </c>
      <c r="B194" t="s">
        <v>11</v>
      </c>
      <c r="C194">
        <v>3</v>
      </c>
      <c r="D194" t="s">
        <v>13</v>
      </c>
      <c r="F194" t="s">
        <v>7</v>
      </c>
      <c r="G194" t="s">
        <v>5</v>
      </c>
      <c r="H194">
        <v>3.0000599999999999</v>
      </c>
      <c r="I194" t="s">
        <v>9</v>
      </c>
      <c r="K194">
        <v>3.5789</v>
      </c>
      <c r="L194">
        <v>0.15340000000000001</v>
      </c>
    </row>
    <row r="195" spans="1:12" x14ac:dyDescent="0.35">
      <c r="A195" t="s">
        <v>4</v>
      </c>
      <c r="B195" t="s">
        <v>11</v>
      </c>
      <c r="C195">
        <v>2.97</v>
      </c>
      <c r="D195" t="s">
        <v>13</v>
      </c>
      <c r="F195" t="s">
        <v>7</v>
      </c>
      <c r="G195" t="s">
        <v>5</v>
      </c>
      <c r="H195">
        <v>3.0000599999999999</v>
      </c>
      <c r="I195" t="s">
        <v>9</v>
      </c>
      <c r="K195">
        <v>3.0493999999999999</v>
      </c>
      <c r="L195">
        <v>0.11101999999999999</v>
      </c>
    </row>
    <row r="197" spans="1:12" x14ac:dyDescent="0.35">
      <c r="A197" t="s">
        <v>4</v>
      </c>
      <c r="B197" t="s">
        <v>10</v>
      </c>
      <c r="C197">
        <v>3.07</v>
      </c>
      <c r="D197" t="s">
        <v>9</v>
      </c>
      <c r="F197" t="s">
        <v>7</v>
      </c>
      <c r="G197" t="s">
        <v>5</v>
      </c>
      <c r="H197">
        <v>3.0000599999999999</v>
      </c>
      <c r="I197" t="s">
        <v>9</v>
      </c>
      <c r="K197">
        <v>3.3405999999999998</v>
      </c>
      <c r="L197">
        <v>0.17150000000000001</v>
      </c>
    </row>
    <row r="198" spans="1:12" x14ac:dyDescent="0.35">
      <c r="A198" t="s">
        <v>4</v>
      </c>
      <c r="B198" t="s">
        <v>10</v>
      </c>
      <c r="C198">
        <v>3.03</v>
      </c>
      <c r="D198" t="s">
        <v>9</v>
      </c>
      <c r="F198" t="s">
        <v>7</v>
      </c>
      <c r="G198" t="s">
        <v>5</v>
      </c>
      <c r="H198">
        <v>3.0000599999999999</v>
      </c>
      <c r="I198" t="s">
        <v>9</v>
      </c>
      <c r="K198">
        <v>3.1297999999999999</v>
      </c>
      <c r="L198">
        <v>0.24495</v>
      </c>
    </row>
    <row r="199" spans="1:12" x14ac:dyDescent="0.35">
      <c r="A199" t="s">
        <v>4</v>
      </c>
      <c r="B199" t="s">
        <v>10</v>
      </c>
      <c r="C199">
        <v>3</v>
      </c>
      <c r="D199" t="s">
        <v>9</v>
      </c>
      <c r="F199" t="s">
        <v>7</v>
      </c>
      <c r="G199" t="s">
        <v>5</v>
      </c>
      <c r="H199">
        <v>3.0000599999999999</v>
      </c>
      <c r="I199" t="s">
        <v>9</v>
      </c>
      <c r="K199">
        <v>3.0301999999999998</v>
      </c>
      <c r="L199">
        <v>0.17660999999999999</v>
      </c>
    </row>
    <row r="200" spans="1:12" x14ac:dyDescent="0.35">
      <c r="A200" t="s">
        <v>4</v>
      </c>
      <c r="B200" t="s">
        <v>10</v>
      </c>
      <c r="C200">
        <v>2.97</v>
      </c>
      <c r="D200" t="s">
        <v>9</v>
      </c>
      <c r="F200" t="s">
        <v>7</v>
      </c>
      <c r="G200" t="s">
        <v>5</v>
      </c>
      <c r="H200">
        <v>3.0000599999999999</v>
      </c>
      <c r="I200" t="s">
        <v>9</v>
      </c>
      <c r="K200">
        <v>2.9140999999999999</v>
      </c>
      <c r="L200">
        <v>0.16939000000000001</v>
      </c>
    </row>
  </sheetData>
  <mergeCells count="8">
    <mergeCell ref="AD1:AF1"/>
    <mergeCell ref="AG1:AI1"/>
    <mergeCell ref="AJ1:AK1"/>
    <mergeCell ref="O1:Q1"/>
    <mergeCell ref="R1:T1"/>
    <mergeCell ref="U1:W1"/>
    <mergeCell ref="X1:Y1"/>
    <mergeCell ref="AA1:AC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B8F8-D803-46C9-ABEF-AB011C29F287}">
  <dimension ref="A1:AK221"/>
  <sheetViews>
    <sheetView tabSelected="1" topLeftCell="E1" workbookViewId="0">
      <selection activeCell="P32" sqref="P32"/>
    </sheetView>
  </sheetViews>
  <sheetFormatPr defaultRowHeight="14.5" x14ac:dyDescent="0.35"/>
  <cols>
    <col min="4" max="4" width="12.26953125" bestFit="1" customWidth="1"/>
    <col min="9" max="9" width="10" bestFit="1" customWidth="1"/>
    <col min="11" max="11" width="11.36328125" bestFit="1" customWidth="1"/>
    <col min="12" max="12" width="22.7265625" bestFit="1" customWidth="1"/>
    <col min="21" max="21" width="10" bestFit="1" customWidth="1"/>
    <col min="22" max="22" width="11.36328125" bestFit="1" customWidth="1"/>
    <col min="23" max="23" width="22.7265625" bestFit="1" customWidth="1"/>
    <col min="24" max="24" width="16.26953125" bestFit="1" customWidth="1"/>
    <col min="25" max="25" width="17.08984375" bestFit="1" customWidth="1"/>
    <col min="33" max="33" width="10.453125" bestFit="1" customWidth="1"/>
    <col min="34" max="34" width="11.81640625" bestFit="1" customWidth="1"/>
    <col min="35" max="35" width="24" bestFit="1" customWidth="1"/>
    <col min="36" max="36" width="17.179687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K1" t="s">
        <v>8</v>
      </c>
      <c r="L1" t="s">
        <v>16</v>
      </c>
      <c r="O1" s="6" t="s">
        <v>17</v>
      </c>
      <c r="P1" s="6"/>
      <c r="Q1" s="6"/>
      <c r="R1" s="6" t="s">
        <v>18</v>
      </c>
      <c r="S1" s="6"/>
      <c r="T1" s="6"/>
      <c r="U1" s="6" t="s">
        <v>21</v>
      </c>
      <c r="V1" s="6"/>
      <c r="W1" s="6"/>
      <c r="X1" s="6" t="s">
        <v>32</v>
      </c>
      <c r="Y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x14ac:dyDescent="0.35">
      <c r="A2" t="s">
        <v>4</v>
      </c>
      <c r="B2" t="s">
        <v>5</v>
      </c>
      <c r="C2">
        <v>3.1</v>
      </c>
      <c r="D2" t="s">
        <v>6</v>
      </c>
      <c r="F2" t="s">
        <v>7</v>
      </c>
      <c r="G2" t="s">
        <v>5</v>
      </c>
      <c r="H2">
        <v>3.0005000000000002</v>
      </c>
      <c r="I2" t="s">
        <v>6</v>
      </c>
      <c r="K2">
        <v>5.2884000000000002</v>
      </c>
      <c r="L2">
        <v>0.17100000000000001</v>
      </c>
      <c r="O2" t="s">
        <v>0</v>
      </c>
      <c r="P2" t="s">
        <v>1</v>
      </c>
      <c r="Q2" t="s">
        <v>2</v>
      </c>
      <c r="R2" t="s">
        <v>0</v>
      </c>
      <c r="S2" t="s">
        <v>1</v>
      </c>
      <c r="T2" t="s">
        <v>2</v>
      </c>
      <c r="U2" t="s">
        <v>3</v>
      </c>
      <c r="V2" t="s">
        <v>8</v>
      </c>
      <c r="W2" t="s">
        <v>16</v>
      </c>
      <c r="X2" t="s">
        <v>19</v>
      </c>
      <c r="Y2" t="s">
        <v>20</v>
      </c>
    </row>
    <row r="3" spans="1:37" x14ac:dyDescent="0.35">
      <c r="A3" t="s">
        <v>4</v>
      </c>
      <c r="B3" t="s">
        <v>5</v>
      </c>
      <c r="C3">
        <v>3.1</v>
      </c>
      <c r="D3" t="s">
        <v>9</v>
      </c>
      <c r="F3" t="s">
        <v>7</v>
      </c>
      <c r="G3" t="s">
        <v>5</v>
      </c>
      <c r="H3">
        <v>3.0005000000000002</v>
      </c>
      <c r="I3" t="s">
        <v>6</v>
      </c>
      <c r="K3">
        <v>5.2016999999999998</v>
      </c>
      <c r="L3">
        <v>0.14072000000000001</v>
      </c>
      <c r="O3" s="2" t="s">
        <v>7</v>
      </c>
      <c r="P3" s="2" t="s">
        <v>14</v>
      </c>
      <c r="Q3" s="2">
        <v>3.03</v>
      </c>
      <c r="R3" s="2" t="s">
        <v>7</v>
      </c>
      <c r="S3" s="2" t="s">
        <v>5</v>
      </c>
      <c r="T3" s="2">
        <v>3.0005000000000002</v>
      </c>
      <c r="U3" s="3" t="s">
        <v>31</v>
      </c>
      <c r="V3" s="2">
        <f>K94</f>
        <v>5.0776000000000003</v>
      </c>
      <c r="W3" s="2">
        <f>L94</f>
        <v>0.16858000000000001</v>
      </c>
      <c r="X3" s="2">
        <f>AVERAGE(K93:K94)</f>
        <v>4.9798500000000008</v>
      </c>
      <c r="Y3" s="2"/>
      <c r="AG3" s="1"/>
    </row>
    <row r="4" spans="1:37" x14ac:dyDescent="0.35">
      <c r="A4" t="s">
        <v>4</v>
      </c>
      <c r="B4" t="s">
        <v>5</v>
      </c>
      <c r="C4">
        <v>3.1</v>
      </c>
      <c r="D4" t="s">
        <v>6</v>
      </c>
      <c r="F4" t="s">
        <v>7</v>
      </c>
      <c r="G4" t="s">
        <v>5</v>
      </c>
      <c r="H4">
        <v>3.0005000000000002</v>
      </c>
      <c r="I4" t="s">
        <v>9</v>
      </c>
      <c r="K4">
        <v>5.2461000000000002</v>
      </c>
      <c r="L4">
        <v>0.15046000000000001</v>
      </c>
      <c r="O4" t="s">
        <v>7</v>
      </c>
      <c r="P4" t="s">
        <v>14</v>
      </c>
      <c r="Q4">
        <v>3.03</v>
      </c>
      <c r="R4" t="s">
        <v>4</v>
      </c>
      <c r="S4" t="s">
        <v>5</v>
      </c>
      <c r="T4">
        <v>3.0003000000000002</v>
      </c>
      <c r="U4" s="1" t="s">
        <v>31</v>
      </c>
      <c r="V4">
        <f>K115</f>
        <v>5.2939999999999996</v>
      </c>
      <c r="W4">
        <f>L115</f>
        <v>0.12637999999999999</v>
      </c>
      <c r="X4">
        <f>AVERAGE(K114:K115)</f>
        <v>5.2027000000000001</v>
      </c>
      <c r="AG4" s="1"/>
    </row>
    <row r="5" spans="1:37" x14ac:dyDescent="0.35">
      <c r="A5" t="s">
        <v>4</v>
      </c>
      <c r="B5" t="s">
        <v>5</v>
      </c>
      <c r="C5">
        <v>3.1</v>
      </c>
      <c r="D5" t="s">
        <v>9</v>
      </c>
      <c r="F5" t="s">
        <v>7</v>
      </c>
      <c r="G5" t="s">
        <v>5</v>
      </c>
      <c r="H5">
        <v>3.0005000000000002</v>
      </c>
      <c r="I5" t="s">
        <v>9</v>
      </c>
      <c r="K5">
        <v>5.1760999999999999</v>
      </c>
      <c r="L5">
        <v>0.15193999999999999</v>
      </c>
      <c r="O5" t="s">
        <v>7</v>
      </c>
      <c r="P5" t="s">
        <v>5</v>
      </c>
      <c r="Q5">
        <v>3.03</v>
      </c>
      <c r="R5" t="s">
        <v>7</v>
      </c>
      <c r="S5" t="s">
        <v>14</v>
      </c>
      <c r="T5">
        <v>3.0003500000000001</v>
      </c>
      <c r="U5" t="s">
        <v>27</v>
      </c>
      <c r="V5">
        <f>K123</f>
        <v>5.6210000000000004</v>
      </c>
      <c r="W5">
        <f>L123</f>
        <v>0.20155000000000001</v>
      </c>
      <c r="X5">
        <f>AVERAGE(K123:K124)</f>
        <v>5.5793499999999998</v>
      </c>
    </row>
    <row r="6" spans="1:37" x14ac:dyDescent="0.35">
      <c r="O6" t="s">
        <v>7</v>
      </c>
      <c r="P6" t="s">
        <v>5</v>
      </c>
      <c r="Q6">
        <v>3.03</v>
      </c>
      <c r="R6" t="s">
        <v>4</v>
      </c>
      <c r="S6" t="s">
        <v>14</v>
      </c>
      <c r="T6">
        <v>3.0003500000000001</v>
      </c>
      <c r="U6" t="s">
        <v>28</v>
      </c>
      <c r="V6">
        <f>K133</f>
        <v>5.8952999999999998</v>
      </c>
      <c r="W6">
        <f>L133</f>
        <v>0.13494</v>
      </c>
      <c r="X6">
        <f>AVERAGE(K132:K133)</f>
        <v>5.8624000000000001</v>
      </c>
    </row>
    <row r="7" spans="1:37" x14ac:dyDescent="0.35">
      <c r="A7" t="s">
        <v>4</v>
      </c>
      <c r="B7" t="s">
        <v>5</v>
      </c>
      <c r="C7">
        <v>3.03</v>
      </c>
      <c r="D7" t="s">
        <v>6</v>
      </c>
      <c r="F7" t="s">
        <v>7</v>
      </c>
      <c r="G7" t="s">
        <v>5</v>
      </c>
      <c r="H7">
        <v>3.0005000000000002</v>
      </c>
      <c r="I7" t="s">
        <v>6</v>
      </c>
      <c r="K7">
        <v>5.2023000000000001</v>
      </c>
      <c r="L7">
        <v>0.11532000000000001</v>
      </c>
      <c r="O7" t="s">
        <v>7</v>
      </c>
      <c r="P7" t="s">
        <v>5</v>
      </c>
      <c r="Q7">
        <v>3.03</v>
      </c>
      <c r="R7" t="s">
        <v>7</v>
      </c>
      <c r="S7" t="s">
        <v>5</v>
      </c>
      <c r="T7">
        <v>3.0005000000000002</v>
      </c>
      <c r="U7" t="s">
        <v>26</v>
      </c>
      <c r="V7">
        <f>K85</f>
        <v>5.0326000000000004</v>
      </c>
      <c r="W7">
        <f>L85</f>
        <v>0.11187999999999999</v>
      </c>
      <c r="X7">
        <f>AVERAGE(K83:K86)</f>
        <v>4.9432999999999998</v>
      </c>
    </row>
    <row r="8" spans="1:37" x14ac:dyDescent="0.35">
      <c r="A8" t="s">
        <v>4</v>
      </c>
      <c r="B8" t="s">
        <v>5</v>
      </c>
      <c r="C8">
        <v>3.03</v>
      </c>
      <c r="D8" t="s">
        <v>9</v>
      </c>
      <c r="F8" t="s">
        <v>7</v>
      </c>
      <c r="G8" t="s">
        <v>5</v>
      </c>
      <c r="H8">
        <v>3.0005000000000002</v>
      </c>
      <c r="I8" t="s">
        <v>6</v>
      </c>
      <c r="K8">
        <v>5.1188000000000002</v>
      </c>
      <c r="L8">
        <v>0.14202000000000001</v>
      </c>
      <c r="O8" t="s">
        <v>7</v>
      </c>
      <c r="P8" t="s">
        <v>5</v>
      </c>
      <c r="Q8">
        <v>3.03</v>
      </c>
      <c r="R8" t="s">
        <v>4</v>
      </c>
      <c r="S8" t="s">
        <v>5</v>
      </c>
      <c r="T8">
        <v>3.0003000000000002</v>
      </c>
      <c r="U8" t="s">
        <v>23</v>
      </c>
      <c r="V8">
        <f>K105</f>
        <v>5.1578999999999997</v>
      </c>
      <c r="W8">
        <f>L105</f>
        <v>0.22659000000000001</v>
      </c>
      <c r="X8">
        <f>AVERAGE(K104:K107)</f>
        <v>5.1187249999999995</v>
      </c>
    </row>
    <row r="9" spans="1:37" x14ac:dyDescent="0.35">
      <c r="A9" t="s">
        <v>4</v>
      </c>
      <c r="B9" t="s">
        <v>5</v>
      </c>
      <c r="C9">
        <v>3.03</v>
      </c>
      <c r="D9" t="s">
        <v>6</v>
      </c>
      <c r="F9" t="s">
        <v>7</v>
      </c>
      <c r="G9" t="s">
        <v>5</v>
      </c>
      <c r="H9">
        <v>3.0005000000000002</v>
      </c>
      <c r="I9" t="s">
        <v>9</v>
      </c>
      <c r="K9">
        <v>5.2069000000000001</v>
      </c>
      <c r="L9">
        <v>0.16123999999999999</v>
      </c>
      <c r="O9" t="s">
        <v>7</v>
      </c>
      <c r="P9" t="s">
        <v>5</v>
      </c>
      <c r="Q9">
        <v>3.1</v>
      </c>
      <c r="R9" t="s">
        <v>7</v>
      </c>
      <c r="S9" t="s">
        <v>14</v>
      </c>
      <c r="T9">
        <v>3.0003500000000001</v>
      </c>
      <c r="U9" t="s">
        <v>27</v>
      </c>
      <c r="V9">
        <f>K120</f>
        <v>5.6936999999999998</v>
      </c>
      <c r="W9">
        <f>L120</f>
        <v>0.22273000000000001</v>
      </c>
      <c r="X9">
        <f>AVERAGE(K120:K121)</f>
        <v>5.6248500000000003</v>
      </c>
    </row>
    <row r="10" spans="1:37" x14ac:dyDescent="0.35">
      <c r="A10" t="s">
        <v>4</v>
      </c>
      <c r="B10" t="s">
        <v>5</v>
      </c>
      <c r="C10">
        <v>3.03</v>
      </c>
      <c r="D10" t="s">
        <v>9</v>
      </c>
      <c r="F10" t="s">
        <v>7</v>
      </c>
      <c r="G10" t="s">
        <v>5</v>
      </c>
      <c r="H10">
        <v>3.0005000000000002</v>
      </c>
      <c r="I10" t="s">
        <v>9</v>
      </c>
      <c r="K10">
        <v>5.1406999999999998</v>
      </c>
      <c r="L10">
        <v>0.15078</v>
      </c>
      <c r="O10" t="s">
        <v>7</v>
      </c>
      <c r="P10" t="s">
        <v>5</v>
      </c>
      <c r="Q10">
        <v>3.1</v>
      </c>
      <c r="R10" t="s">
        <v>4</v>
      </c>
      <c r="S10" t="s">
        <v>14</v>
      </c>
      <c r="T10">
        <v>3.0003500000000001</v>
      </c>
      <c r="U10" t="s">
        <v>27</v>
      </c>
      <c r="V10">
        <f>K129</f>
        <v>6.0955000000000004</v>
      </c>
      <c r="W10">
        <f>L129</f>
        <v>0.21503</v>
      </c>
      <c r="X10">
        <f>AVERAGE(K129:K130)</f>
        <v>6.0057</v>
      </c>
    </row>
    <row r="11" spans="1:37" x14ac:dyDescent="0.35">
      <c r="O11" s="2" t="s">
        <v>7</v>
      </c>
      <c r="P11" s="2" t="s">
        <v>5</v>
      </c>
      <c r="Q11" s="2">
        <v>3.1</v>
      </c>
      <c r="R11" s="2" t="s">
        <v>7</v>
      </c>
      <c r="S11" s="2" t="s">
        <v>5</v>
      </c>
      <c r="T11" s="2">
        <v>3.0005000000000002</v>
      </c>
      <c r="U11" s="2" t="s">
        <v>30</v>
      </c>
      <c r="V11" s="2">
        <f>K78</f>
        <v>5.1172000000000004</v>
      </c>
      <c r="W11" s="2">
        <f>L78</f>
        <v>0.21498999999999999</v>
      </c>
      <c r="X11" s="2">
        <f>AVERAGE(K78:K81)</f>
        <v>4.9876249999999995</v>
      </c>
      <c r="Y11" s="2"/>
      <c r="AG11" s="1"/>
    </row>
    <row r="12" spans="1:37" x14ac:dyDescent="0.35">
      <c r="A12" t="s">
        <v>4</v>
      </c>
      <c r="B12" t="s">
        <v>10</v>
      </c>
      <c r="C12">
        <v>3.03</v>
      </c>
      <c r="D12" t="s">
        <v>6</v>
      </c>
      <c r="F12" t="s">
        <v>7</v>
      </c>
      <c r="G12" t="s">
        <v>5</v>
      </c>
      <c r="H12">
        <v>3.0005000000000002</v>
      </c>
      <c r="I12" t="s">
        <v>6</v>
      </c>
      <c r="K12">
        <v>4.8956</v>
      </c>
      <c r="L12">
        <v>0.22262999999999999</v>
      </c>
      <c r="O12" s="2" t="s">
        <v>7</v>
      </c>
      <c r="P12" s="2" t="s">
        <v>5</v>
      </c>
      <c r="Q12" s="2">
        <v>3.1</v>
      </c>
      <c r="R12" s="2" t="s">
        <v>4</v>
      </c>
      <c r="S12" s="2" t="s">
        <v>5</v>
      </c>
      <c r="T12" s="2">
        <v>3.0003000000000002</v>
      </c>
      <c r="U12" s="2" t="s">
        <v>23</v>
      </c>
      <c r="V12" s="2">
        <f>K100</f>
        <v>5.2698</v>
      </c>
      <c r="W12" s="2">
        <f>L100</f>
        <v>0.20230999999999999</v>
      </c>
      <c r="X12" s="2">
        <f>AVERAGE(K99:K102)</f>
        <v>5.194725</v>
      </c>
      <c r="Y12" s="2"/>
      <c r="AG12" s="1"/>
    </row>
    <row r="13" spans="1:37" x14ac:dyDescent="0.35">
      <c r="A13" t="s">
        <v>4</v>
      </c>
      <c r="B13" t="s">
        <v>10</v>
      </c>
      <c r="C13">
        <v>3.03</v>
      </c>
      <c r="D13" t="s">
        <v>9</v>
      </c>
      <c r="F13" t="s">
        <v>7</v>
      </c>
      <c r="G13" t="s">
        <v>5</v>
      </c>
      <c r="H13">
        <v>3.0005000000000002</v>
      </c>
      <c r="I13" t="s">
        <v>6</v>
      </c>
      <c r="K13">
        <v>4.7583000000000002</v>
      </c>
      <c r="L13">
        <v>0.25812000000000002</v>
      </c>
      <c r="O13" s="2" t="s">
        <v>7</v>
      </c>
      <c r="P13" s="2" t="s">
        <v>15</v>
      </c>
      <c r="Q13" s="2">
        <v>3.03</v>
      </c>
      <c r="R13" s="2" t="s">
        <v>7</v>
      </c>
      <c r="S13" s="2" t="s">
        <v>5</v>
      </c>
      <c r="T13" s="2">
        <v>3.0005000000000002</v>
      </c>
      <c r="U13" s="3" t="s">
        <v>25</v>
      </c>
      <c r="V13" s="2">
        <f>K96</f>
        <v>5.1329000000000002</v>
      </c>
      <c r="W13" s="2">
        <f>L96</f>
        <v>0.17432</v>
      </c>
      <c r="X13" s="2">
        <f>AVERAGE(K96:K97)</f>
        <v>4.9637000000000002</v>
      </c>
      <c r="Y13" s="2"/>
    </row>
    <row r="14" spans="1:37" x14ac:dyDescent="0.35">
      <c r="A14" t="s">
        <v>4</v>
      </c>
      <c r="B14" t="s">
        <v>10</v>
      </c>
      <c r="C14">
        <v>3.03</v>
      </c>
      <c r="D14" t="s">
        <v>6</v>
      </c>
      <c r="F14" t="s">
        <v>7</v>
      </c>
      <c r="G14" t="s">
        <v>5</v>
      </c>
      <c r="H14">
        <v>3.0005000000000002</v>
      </c>
      <c r="I14" t="s">
        <v>9</v>
      </c>
      <c r="K14">
        <v>4.8071000000000002</v>
      </c>
      <c r="L14">
        <v>0.11354</v>
      </c>
      <c r="O14" t="s">
        <v>7</v>
      </c>
      <c r="P14" t="s">
        <v>15</v>
      </c>
      <c r="Q14">
        <v>3.03</v>
      </c>
      <c r="R14" t="s">
        <v>4</v>
      </c>
      <c r="S14" t="s">
        <v>5</v>
      </c>
      <c r="T14" s="7">
        <v>3.0003000000000002</v>
      </c>
      <c r="U14" s="8" t="s">
        <v>25</v>
      </c>
      <c r="V14">
        <f>K117</f>
        <v>5.1665000000000001</v>
      </c>
      <c r="W14">
        <f>L117</f>
        <v>0.21301999999999999</v>
      </c>
      <c r="X14">
        <f>AVERAGE(K117:K118)</f>
        <v>5.0973000000000006</v>
      </c>
    </row>
    <row r="15" spans="1:37" x14ac:dyDescent="0.35">
      <c r="A15" t="s">
        <v>4</v>
      </c>
      <c r="B15" t="s">
        <v>10</v>
      </c>
      <c r="C15">
        <v>3.03</v>
      </c>
      <c r="D15" t="s">
        <v>9</v>
      </c>
      <c r="F15" t="s">
        <v>7</v>
      </c>
      <c r="G15" t="s">
        <v>5</v>
      </c>
      <c r="H15">
        <v>3.0005000000000002</v>
      </c>
      <c r="I15" t="s">
        <v>9</v>
      </c>
      <c r="K15">
        <v>4.9252000000000002</v>
      </c>
      <c r="L15">
        <v>0.24512999999999999</v>
      </c>
      <c r="O15" t="s">
        <v>7</v>
      </c>
      <c r="P15" t="s">
        <v>11</v>
      </c>
      <c r="Q15">
        <v>3</v>
      </c>
      <c r="R15" t="s">
        <v>7</v>
      </c>
      <c r="S15" t="s">
        <v>14</v>
      </c>
      <c r="T15" s="7">
        <v>3.0003500000000001</v>
      </c>
      <c r="U15" s="7" t="s">
        <v>35</v>
      </c>
      <c r="V15">
        <f>K127</f>
        <v>5.7434000000000003</v>
      </c>
      <c r="W15">
        <f>L127</f>
        <v>0.11726</v>
      </c>
      <c r="X15">
        <f>AVERAGE(K126:K127)</f>
        <v>5.5874000000000006</v>
      </c>
    </row>
    <row r="16" spans="1:37" x14ac:dyDescent="0.35">
      <c r="O16" t="s">
        <v>7</v>
      </c>
      <c r="P16" t="s">
        <v>11</v>
      </c>
      <c r="Q16">
        <v>3</v>
      </c>
      <c r="R16" t="s">
        <v>4</v>
      </c>
      <c r="S16" t="s">
        <v>14</v>
      </c>
      <c r="T16" s="7">
        <v>3.0003500000000001</v>
      </c>
      <c r="U16" s="7" t="s">
        <v>39</v>
      </c>
      <c r="V16">
        <f>K135</f>
        <v>5.9481000000000002</v>
      </c>
      <c r="W16">
        <f>L135</f>
        <v>0.15301999999999999</v>
      </c>
      <c r="X16">
        <f>AVERAGE(K135:K136)</f>
        <v>5.8377499999999998</v>
      </c>
      <c r="AG16" s="1"/>
    </row>
    <row r="17" spans="1:33" x14ac:dyDescent="0.35">
      <c r="A17" t="s">
        <v>4</v>
      </c>
      <c r="B17" t="s">
        <v>11</v>
      </c>
      <c r="C17">
        <v>3</v>
      </c>
      <c r="D17" t="s">
        <v>12</v>
      </c>
      <c r="F17" t="s">
        <v>7</v>
      </c>
      <c r="G17" t="s">
        <v>5</v>
      </c>
      <c r="H17">
        <v>3.0005000000000002</v>
      </c>
      <c r="I17" t="s">
        <v>6</v>
      </c>
      <c r="K17">
        <v>5.3761000000000001</v>
      </c>
      <c r="L17">
        <v>0.16317999999999999</v>
      </c>
      <c r="O17" s="2" t="s">
        <v>7</v>
      </c>
      <c r="P17" s="2" t="s">
        <v>11</v>
      </c>
      <c r="Q17" s="2">
        <v>3</v>
      </c>
      <c r="R17" s="2" t="s">
        <v>7</v>
      </c>
      <c r="S17" s="2" t="s">
        <v>5</v>
      </c>
      <c r="T17" s="2">
        <v>3.0005000000000002</v>
      </c>
      <c r="U17" s="2" t="s">
        <v>37</v>
      </c>
      <c r="V17" s="2">
        <f>K89</f>
        <v>5.2119999999999997</v>
      </c>
      <c r="W17" s="2">
        <f>L89</f>
        <v>0.12881999999999999</v>
      </c>
      <c r="X17" s="2">
        <f>AVERAGE(K88:K91)</f>
        <v>4.9681749999999996</v>
      </c>
      <c r="Y17" s="2"/>
      <c r="AG17" s="1"/>
    </row>
    <row r="18" spans="1:33" x14ac:dyDescent="0.35">
      <c r="A18" t="s">
        <v>4</v>
      </c>
      <c r="B18" t="s">
        <v>11</v>
      </c>
      <c r="C18">
        <v>3</v>
      </c>
      <c r="D18" t="s">
        <v>13</v>
      </c>
      <c r="F18" t="s">
        <v>7</v>
      </c>
      <c r="G18" t="s">
        <v>5</v>
      </c>
      <c r="H18">
        <v>3.0005000000000002</v>
      </c>
      <c r="I18" t="s">
        <v>6</v>
      </c>
      <c r="K18">
        <v>5.2594000000000003</v>
      </c>
      <c r="L18">
        <v>0.15093999999999999</v>
      </c>
      <c r="O18" t="s">
        <v>7</v>
      </c>
      <c r="P18" t="s">
        <v>11</v>
      </c>
      <c r="Q18">
        <v>3</v>
      </c>
      <c r="R18" t="s">
        <v>4</v>
      </c>
      <c r="S18" t="s">
        <v>5</v>
      </c>
      <c r="T18">
        <v>3.0003000000000002</v>
      </c>
      <c r="U18" t="s">
        <v>37</v>
      </c>
      <c r="V18">
        <f>K110</f>
        <v>5.4507000000000003</v>
      </c>
      <c r="W18">
        <f>L110</f>
        <v>0.13056999999999999</v>
      </c>
      <c r="X18">
        <f>AVERAGE(K109:K112)</f>
        <v>5.2026500000000002</v>
      </c>
    </row>
    <row r="19" spans="1:33" x14ac:dyDescent="0.35">
      <c r="A19" t="s">
        <v>4</v>
      </c>
      <c r="B19" t="s">
        <v>11</v>
      </c>
      <c r="C19">
        <v>3</v>
      </c>
      <c r="D19" t="s">
        <v>12</v>
      </c>
      <c r="F19" t="s">
        <v>7</v>
      </c>
      <c r="G19" t="s">
        <v>5</v>
      </c>
      <c r="H19">
        <v>3.0005000000000002</v>
      </c>
      <c r="I19" t="s">
        <v>9</v>
      </c>
      <c r="K19">
        <v>5.2904</v>
      </c>
      <c r="L19">
        <v>0.14041999999999999</v>
      </c>
      <c r="O19" s="2" t="s">
        <v>4</v>
      </c>
      <c r="P19" s="2" t="s">
        <v>14</v>
      </c>
      <c r="Q19" s="2">
        <v>3.03</v>
      </c>
      <c r="R19" s="2" t="s">
        <v>7</v>
      </c>
      <c r="S19" s="2" t="s">
        <v>5</v>
      </c>
      <c r="T19" s="2">
        <v>3.0005000000000002</v>
      </c>
      <c r="U19" s="3" t="s">
        <v>25</v>
      </c>
      <c r="V19" s="2">
        <f>K22</f>
        <v>5.2633999999999999</v>
      </c>
      <c r="W19" s="2">
        <f>L22</f>
        <v>0.13211000000000001</v>
      </c>
      <c r="X19" s="2">
        <f>AVERAGE(K22:K23)</f>
        <v>5.2223500000000005</v>
      </c>
      <c r="Y19" s="2"/>
    </row>
    <row r="20" spans="1:33" x14ac:dyDescent="0.35">
      <c r="A20" t="s">
        <v>4</v>
      </c>
      <c r="B20" t="s">
        <v>11</v>
      </c>
      <c r="C20">
        <v>3</v>
      </c>
      <c r="D20" t="s">
        <v>13</v>
      </c>
      <c r="F20" t="s">
        <v>7</v>
      </c>
      <c r="G20" t="s">
        <v>5</v>
      </c>
      <c r="H20">
        <v>3.0005000000000002</v>
      </c>
      <c r="I20" t="s">
        <v>9</v>
      </c>
      <c r="K20">
        <v>5.2306999999999997</v>
      </c>
      <c r="L20">
        <v>0.1346</v>
      </c>
      <c r="O20" t="s">
        <v>4</v>
      </c>
      <c r="P20" t="s">
        <v>14</v>
      </c>
      <c r="Q20">
        <v>3.03</v>
      </c>
      <c r="R20" t="s">
        <v>4</v>
      </c>
      <c r="S20" t="s">
        <v>5</v>
      </c>
      <c r="T20">
        <v>3.0003000000000002</v>
      </c>
      <c r="U20" s="1" t="s">
        <v>31</v>
      </c>
      <c r="V20">
        <f>K49</f>
        <v>5.4653</v>
      </c>
      <c r="W20">
        <f>L49</f>
        <v>0.19797999999999999</v>
      </c>
      <c r="X20">
        <f>AVERAGE(K48:K49)</f>
        <v>5.4207000000000001</v>
      </c>
    </row>
    <row r="21" spans="1:33" x14ac:dyDescent="0.35">
      <c r="O21" t="s">
        <v>4</v>
      </c>
      <c r="P21" t="s">
        <v>5</v>
      </c>
      <c r="Q21">
        <v>3.03</v>
      </c>
      <c r="R21" t="s">
        <v>7</v>
      </c>
      <c r="S21" t="s">
        <v>14</v>
      </c>
      <c r="T21">
        <v>3.0003500000000001</v>
      </c>
      <c r="U21" t="s">
        <v>27</v>
      </c>
      <c r="V21">
        <f>K57</f>
        <v>5.6824000000000003</v>
      </c>
      <c r="W21">
        <f>L57</f>
        <v>0.16148999999999999</v>
      </c>
      <c r="X21">
        <f>AVERAGE(K57:K58)</f>
        <v>5.6545000000000005</v>
      </c>
    </row>
    <row r="22" spans="1:33" x14ac:dyDescent="0.35">
      <c r="A22" t="s">
        <v>4</v>
      </c>
      <c r="B22" t="s">
        <v>14</v>
      </c>
      <c r="C22">
        <v>3.03</v>
      </c>
      <c r="F22" t="s">
        <v>7</v>
      </c>
      <c r="G22" t="s">
        <v>5</v>
      </c>
      <c r="H22">
        <v>3.0005000000000002</v>
      </c>
      <c r="I22" t="s">
        <v>6</v>
      </c>
      <c r="K22">
        <v>5.2633999999999999</v>
      </c>
      <c r="L22">
        <v>0.13211000000000001</v>
      </c>
      <c r="O22" t="s">
        <v>4</v>
      </c>
      <c r="P22" t="s">
        <v>5</v>
      </c>
      <c r="Q22">
        <v>3.03</v>
      </c>
      <c r="R22" t="s">
        <v>4</v>
      </c>
      <c r="S22" t="s">
        <v>14</v>
      </c>
      <c r="T22">
        <v>3.0003500000000001</v>
      </c>
      <c r="U22" t="s">
        <v>27</v>
      </c>
      <c r="V22">
        <f>K69</f>
        <v>6.2207999999999997</v>
      </c>
      <c r="W22">
        <f>L69</f>
        <v>0.16142000000000001</v>
      </c>
      <c r="X22">
        <f>AVERAGE(K69:K70)</f>
        <v>6.1406499999999999</v>
      </c>
    </row>
    <row r="23" spans="1:33" x14ac:dyDescent="0.35">
      <c r="A23" t="s">
        <v>4</v>
      </c>
      <c r="B23" t="s">
        <v>14</v>
      </c>
      <c r="C23">
        <v>3.03</v>
      </c>
      <c r="F23" t="s">
        <v>7</v>
      </c>
      <c r="G23" t="s">
        <v>5</v>
      </c>
      <c r="H23">
        <v>3.0005000000000002</v>
      </c>
      <c r="I23" t="s">
        <v>9</v>
      </c>
      <c r="K23">
        <v>5.1813000000000002</v>
      </c>
      <c r="L23">
        <v>0.20125999999999999</v>
      </c>
      <c r="O23" t="s">
        <v>4</v>
      </c>
      <c r="P23" t="s">
        <v>5</v>
      </c>
      <c r="Q23">
        <v>3.03</v>
      </c>
      <c r="R23" t="s">
        <v>7</v>
      </c>
      <c r="S23" t="s">
        <v>5</v>
      </c>
      <c r="T23">
        <v>3.0005000000000002</v>
      </c>
      <c r="U23" t="s">
        <v>26</v>
      </c>
      <c r="V23">
        <f>K9</f>
        <v>5.2069000000000001</v>
      </c>
      <c r="W23">
        <f>L9</f>
        <v>0.16123999999999999</v>
      </c>
      <c r="X23">
        <f>AVERAGE(K7:K10)</f>
        <v>5.1671750000000003</v>
      </c>
    </row>
    <row r="24" spans="1:33" x14ac:dyDescent="0.35">
      <c r="O24" t="s">
        <v>4</v>
      </c>
      <c r="P24" t="s">
        <v>5</v>
      </c>
      <c r="Q24">
        <v>3.03</v>
      </c>
      <c r="R24" t="s">
        <v>4</v>
      </c>
      <c r="S24" t="s">
        <v>5</v>
      </c>
      <c r="T24">
        <v>3.0003000000000002</v>
      </c>
      <c r="U24" t="s">
        <v>26</v>
      </c>
      <c r="V24">
        <f>K35</f>
        <v>5.3327</v>
      </c>
      <c r="W24">
        <f>L35</f>
        <v>0.20523</v>
      </c>
      <c r="X24">
        <f>AVERAGE(K33:K36)</f>
        <v>5.2587000000000002</v>
      </c>
      <c r="AG24" s="1"/>
    </row>
    <row r="25" spans="1:33" x14ac:dyDescent="0.35">
      <c r="A25" t="s">
        <v>4</v>
      </c>
      <c r="B25" t="s">
        <v>15</v>
      </c>
      <c r="C25">
        <v>3.03</v>
      </c>
      <c r="F25" t="s">
        <v>7</v>
      </c>
      <c r="G25" t="s">
        <v>5</v>
      </c>
      <c r="H25">
        <v>3.0005000000000002</v>
      </c>
      <c r="I25" t="s">
        <v>6</v>
      </c>
      <c r="K25">
        <v>4.9339000000000004</v>
      </c>
      <c r="L25">
        <v>0.24626999999999999</v>
      </c>
      <c r="O25" t="s">
        <v>4</v>
      </c>
      <c r="P25" t="s">
        <v>5</v>
      </c>
      <c r="Q25">
        <v>3.1</v>
      </c>
      <c r="R25" t="s">
        <v>7</v>
      </c>
      <c r="S25" t="s">
        <v>14</v>
      </c>
      <c r="T25">
        <v>3.0003500000000001</v>
      </c>
      <c r="U25" t="s">
        <v>28</v>
      </c>
      <c r="V25">
        <f>K55</f>
        <v>5.7766999999999999</v>
      </c>
      <c r="W25">
        <f>L55</f>
        <v>0.12673000000000001</v>
      </c>
      <c r="X25">
        <f>AVERAGE(K54:K55)</f>
        <v>5.7728000000000002</v>
      </c>
      <c r="AG25" s="1"/>
    </row>
    <row r="26" spans="1:33" x14ac:dyDescent="0.35">
      <c r="A26" t="s">
        <v>4</v>
      </c>
      <c r="B26" t="s">
        <v>15</v>
      </c>
      <c r="C26">
        <v>3.03</v>
      </c>
      <c r="F26" t="s">
        <v>7</v>
      </c>
      <c r="G26" t="s">
        <v>5</v>
      </c>
      <c r="H26">
        <v>3.0005000000000002</v>
      </c>
      <c r="I26" t="s">
        <v>9</v>
      </c>
      <c r="K26">
        <v>4.8445</v>
      </c>
      <c r="L26">
        <v>8.1882999999999997E-2</v>
      </c>
      <c r="O26" t="s">
        <v>4</v>
      </c>
      <c r="P26" t="s">
        <v>5</v>
      </c>
      <c r="Q26">
        <v>3.1</v>
      </c>
      <c r="R26" t="s">
        <v>4</v>
      </c>
      <c r="S26" t="s">
        <v>14</v>
      </c>
      <c r="T26">
        <v>3.0003500000000001</v>
      </c>
      <c r="U26" t="s">
        <v>28</v>
      </c>
      <c r="V26">
        <f>K67</f>
        <v>6.2347999999999999</v>
      </c>
      <c r="W26">
        <f>L67</f>
        <v>0.11994</v>
      </c>
      <c r="X26">
        <f>AVERAGE(K66:K67)</f>
        <v>6.2076500000000001</v>
      </c>
    </row>
    <row r="27" spans="1:33" x14ac:dyDescent="0.35">
      <c r="O27" s="2" t="s">
        <v>4</v>
      </c>
      <c r="P27" s="2" t="s">
        <v>5</v>
      </c>
      <c r="Q27" s="2">
        <v>3.1</v>
      </c>
      <c r="R27" s="2" t="s">
        <v>7</v>
      </c>
      <c r="S27" s="2" t="s">
        <v>5</v>
      </c>
      <c r="T27" s="2">
        <v>3.0005000000000002</v>
      </c>
      <c r="U27" s="2" t="s">
        <v>30</v>
      </c>
      <c r="V27" s="2">
        <f>K2</f>
        <v>5.2884000000000002</v>
      </c>
      <c r="W27" s="2">
        <f>L2</f>
        <v>0.17100000000000001</v>
      </c>
      <c r="X27" s="2">
        <f>AVERAGE(K2:K5)</f>
        <v>5.2280750000000005</v>
      </c>
      <c r="Y27" s="2"/>
    </row>
    <row r="28" spans="1:33" x14ac:dyDescent="0.35">
      <c r="A28" t="s">
        <v>4</v>
      </c>
      <c r="B28" t="s">
        <v>5</v>
      </c>
      <c r="C28">
        <v>3.1</v>
      </c>
      <c r="D28" t="s">
        <v>6</v>
      </c>
      <c r="F28" t="s">
        <v>4</v>
      </c>
      <c r="G28" t="s">
        <v>5</v>
      </c>
      <c r="H28">
        <v>3.0003000000000002</v>
      </c>
      <c r="I28" t="s">
        <v>6</v>
      </c>
      <c r="K28">
        <v>5.4409000000000001</v>
      </c>
      <c r="L28">
        <v>0.17077999999999999</v>
      </c>
      <c r="O28" s="2" t="s">
        <v>4</v>
      </c>
      <c r="P28" s="2" t="s">
        <v>5</v>
      </c>
      <c r="Q28" s="2">
        <v>3.1</v>
      </c>
      <c r="R28" s="2" t="s">
        <v>4</v>
      </c>
      <c r="S28" s="2" t="s">
        <v>5</v>
      </c>
      <c r="T28" s="2">
        <v>3.0003000000000002</v>
      </c>
      <c r="U28" s="2" t="s">
        <v>30</v>
      </c>
      <c r="V28" s="2">
        <f>K28</f>
        <v>5.4409000000000001</v>
      </c>
      <c r="W28" s="2">
        <f>L28</f>
        <v>0.17077999999999999</v>
      </c>
      <c r="X28" s="2">
        <f>AVERAGE(K28:K31)</f>
        <v>5.3962000000000003</v>
      </c>
      <c r="Y28" s="2"/>
    </row>
    <row r="29" spans="1:33" x14ac:dyDescent="0.35">
      <c r="A29" t="s">
        <v>4</v>
      </c>
      <c r="B29" t="s">
        <v>5</v>
      </c>
      <c r="C29">
        <v>3.1</v>
      </c>
      <c r="D29" t="s">
        <v>9</v>
      </c>
      <c r="F29" t="s">
        <v>4</v>
      </c>
      <c r="G29" t="s">
        <v>5</v>
      </c>
      <c r="H29">
        <v>3.0003000000000002</v>
      </c>
      <c r="I29" t="s">
        <v>6</v>
      </c>
      <c r="K29">
        <v>5.3590999999999998</v>
      </c>
      <c r="L29">
        <v>0.15482000000000001</v>
      </c>
      <c r="O29" s="2" t="s">
        <v>4</v>
      </c>
      <c r="P29" s="2" t="s">
        <v>15</v>
      </c>
      <c r="Q29" s="2">
        <v>3.03</v>
      </c>
      <c r="R29" s="2" t="s">
        <v>7</v>
      </c>
      <c r="S29" s="2" t="s">
        <v>5</v>
      </c>
      <c r="T29" s="2">
        <v>3.0005000000000002</v>
      </c>
      <c r="U29" s="3" t="s">
        <v>25</v>
      </c>
      <c r="V29" s="2">
        <f>K25</f>
        <v>4.9339000000000004</v>
      </c>
      <c r="W29" s="2">
        <f>L25</f>
        <v>0.24626999999999999</v>
      </c>
      <c r="X29" s="2">
        <f>AVERAGE(K25:K26)</f>
        <v>4.8892000000000007</v>
      </c>
      <c r="Y29" s="2"/>
    </row>
    <row r="30" spans="1:33" x14ac:dyDescent="0.35">
      <c r="A30" t="s">
        <v>4</v>
      </c>
      <c r="B30" t="s">
        <v>5</v>
      </c>
      <c r="C30">
        <v>3.1</v>
      </c>
      <c r="D30" t="s">
        <v>6</v>
      </c>
      <c r="F30" t="s">
        <v>4</v>
      </c>
      <c r="G30" t="s">
        <v>5</v>
      </c>
      <c r="H30">
        <v>3.0003000000000002</v>
      </c>
      <c r="I30" t="s">
        <v>9</v>
      </c>
      <c r="K30">
        <v>5.3625999999999996</v>
      </c>
      <c r="L30">
        <v>0.19459000000000001</v>
      </c>
      <c r="O30" t="s">
        <v>4</v>
      </c>
      <c r="P30" t="s">
        <v>15</v>
      </c>
      <c r="Q30">
        <v>3.03</v>
      </c>
      <c r="R30" t="s">
        <v>4</v>
      </c>
      <c r="S30" t="s">
        <v>5</v>
      </c>
      <c r="T30" s="7">
        <v>3.0003000000000002</v>
      </c>
      <c r="U30" s="8" t="s">
        <v>25</v>
      </c>
      <c r="V30">
        <f>K51</f>
        <v>5.2676999999999996</v>
      </c>
      <c r="W30">
        <f>L51</f>
        <v>0.10329000000000001</v>
      </c>
      <c r="X30">
        <f>AVERAGE(K51:K52)</f>
        <v>5.1669999999999998</v>
      </c>
    </row>
    <row r="31" spans="1:33" x14ac:dyDescent="0.35">
      <c r="A31" t="s">
        <v>4</v>
      </c>
      <c r="B31" t="s">
        <v>5</v>
      </c>
      <c r="C31">
        <v>3.1</v>
      </c>
      <c r="D31" t="s">
        <v>9</v>
      </c>
      <c r="F31" t="s">
        <v>4</v>
      </c>
      <c r="G31" t="s">
        <v>5</v>
      </c>
      <c r="H31">
        <v>3.0003000000000002</v>
      </c>
      <c r="I31" t="s">
        <v>9</v>
      </c>
      <c r="K31">
        <v>5.4222000000000001</v>
      </c>
      <c r="L31">
        <v>0.14477999999999999</v>
      </c>
      <c r="O31" t="s">
        <v>4</v>
      </c>
      <c r="P31" t="s">
        <v>11</v>
      </c>
      <c r="Q31">
        <v>3</v>
      </c>
      <c r="R31" t="s">
        <v>7</v>
      </c>
      <c r="S31" t="s">
        <v>14</v>
      </c>
      <c r="T31" s="7">
        <v>3.0003500000000001</v>
      </c>
      <c r="U31" s="7" t="s">
        <v>29</v>
      </c>
      <c r="V31">
        <f>K63</f>
        <v>5.7939999999999996</v>
      </c>
      <c r="W31">
        <f>L63</f>
        <v>0.16389999999999999</v>
      </c>
      <c r="X31">
        <f>AVERAGE(K63:K64)</f>
        <v>5.7482499999999996</v>
      </c>
    </row>
    <row r="32" spans="1:33" x14ac:dyDescent="0.35">
      <c r="O32" s="4" t="s">
        <v>4</v>
      </c>
      <c r="P32" s="4" t="s">
        <v>11</v>
      </c>
      <c r="Q32" s="4">
        <v>3</v>
      </c>
      <c r="R32" s="4" t="s">
        <v>4</v>
      </c>
      <c r="S32" s="4" t="s">
        <v>14</v>
      </c>
      <c r="T32" s="4">
        <v>3.0003500000000001</v>
      </c>
      <c r="U32" s="4" t="s">
        <v>29</v>
      </c>
      <c r="V32" s="4">
        <f>K75</f>
        <v>6.2656999999999998</v>
      </c>
      <c r="W32" s="4">
        <f>L75</f>
        <v>0.16308</v>
      </c>
      <c r="X32" s="4">
        <f>AVERAGE(K75:K76)</f>
        <v>6.2005999999999997</v>
      </c>
      <c r="Y32" s="4"/>
    </row>
    <row r="33" spans="1:25" x14ac:dyDescent="0.35">
      <c r="A33" t="s">
        <v>4</v>
      </c>
      <c r="B33" t="s">
        <v>5</v>
      </c>
      <c r="C33">
        <v>3.03</v>
      </c>
      <c r="D33" t="s">
        <v>6</v>
      </c>
      <c r="F33" t="s">
        <v>4</v>
      </c>
      <c r="G33" t="s">
        <v>5</v>
      </c>
      <c r="H33">
        <v>3.0003000000000002</v>
      </c>
      <c r="I33" t="s">
        <v>6</v>
      </c>
      <c r="K33">
        <v>5.1999000000000004</v>
      </c>
      <c r="L33">
        <v>0.12837999999999999</v>
      </c>
      <c r="O33" s="2" t="s">
        <v>4</v>
      </c>
      <c r="P33" s="2" t="s">
        <v>11</v>
      </c>
      <c r="Q33" s="2">
        <v>3</v>
      </c>
      <c r="R33" s="2" t="s">
        <v>7</v>
      </c>
      <c r="S33" s="2" t="s">
        <v>5</v>
      </c>
      <c r="T33" s="2">
        <v>3.0005000000000002</v>
      </c>
      <c r="U33" s="2" t="s">
        <v>38</v>
      </c>
      <c r="V33" s="2">
        <f>K17</f>
        <v>5.3761000000000001</v>
      </c>
      <c r="W33" s="2">
        <f>L17</f>
        <v>0.16317999999999999</v>
      </c>
      <c r="X33" s="2">
        <f>AVERAGE(K17:K20)</f>
        <v>5.2891500000000002</v>
      </c>
      <c r="Y33" s="2"/>
    </row>
    <row r="34" spans="1:25" x14ac:dyDescent="0.35">
      <c r="A34" t="s">
        <v>4</v>
      </c>
      <c r="B34" t="s">
        <v>5</v>
      </c>
      <c r="C34">
        <v>3.03</v>
      </c>
      <c r="D34" t="s">
        <v>9</v>
      </c>
      <c r="F34" t="s">
        <v>4</v>
      </c>
      <c r="G34" t="s">
        <v>5</v>
      </c>
      <c r="H34">
        <v>3.0003000000000002</v>
      </c>
      <c r="I34" t="s">
        <v>6</v>
      </c>
      <c r="K34">
        <v>5.2160000000000002</v>
      </c>
      <c r="L34">
        <v>0.17324999999999999</v>
      </c>
      <c r="O34" t="s">
        <v>4</v>
      </c>
      <c r="P34" t="s">
        <v>11</v>
      </c>
      <c r="Q34">
        <v>3</v>
      </c>
      <c r="R34" t="s">
        <v>4</v>
      </c>
      <c r="S34" t="s">
        <v>5</v>
      </c>
      <c r="T34">
        <v>3.0003000000000002</v>
      </c>
      <c r="U34" t="s">
        <v>24</v>
      </c>
      <c r="V34">
        <f>K46</f>
        <v>5.4405000000000001</v>
      </c>
      <c r="W34">
        <f>L46</f>
        <v>0.11557000000000001</v>
      </c>
      <c r="X34">
        <f>AVERAGE(K43:K46)</f>
        <v>5.4024750000000008</v>
      </c>
    </row>
    <row r="35" spans="1:25" x14ac:dyDescent="0.35">
      <c r="A35" t="s">
        <v>4</v>
      </c>
      <c r="B35" t="s">
        <v>5</v>
      </c>
      <c r="C35">
        <v>3.03</v>
      </c>
      <c r="D35" t="s">
        <v>6</v>
      </c>
      <c r="F35" t="s">
        <v>4</v>
      </c>
      <c r="G35" t="s">
        <v>5</v>
      </c>
      <c r="H35">
        <v>3.0003000000000002</v>
      </c>
      <c r="I35" t="s">
        <v>9</v>
      </c>
      <c r="K35">
        <v>5.3327</v>
      </c>
      <c r="L35">
        <v>0.20523</v>
      </c>
      <c r="O35" t="s">
        <v>4</v>
      </c>
      <c r="P35" t="s">
        <v>10</v>
      </c>
      <c r="Q35">
        <v>3.03</v>
      </c>
      <c r="R35" t="s">
        <v>7</v>
      </c>
      <c r="S35" t="s">
        <v>14</v>
      </c>
      <c r="T35">
        <v>3.0003500000000001</v>
      </c>
      <c r="U35" t="s">
        <v>27</v>
      </c>
      <c r="V35">
        <f>K60</f>
        <v>5.4851999999999999</v>
      </c>
      <c r="W35">
        <f>L60</f>
        <v>0.13294</v>
      </c>
      <c r="X35">
        <f>AVERAGE(K60:K61)</f>
        <v>5.4670500000000004</v>
      </c>
    </row>
    <row r="36" spans="1:25" x14ac:dyDescent="0.35">
      <c r="A36" t="s">
        <v>4</v>
      </c>
      <c r="B36" t="s">
        <v>5</v>
      </c>
      <c r="C36">
        <v>3.03</v>
      </c>
      <c r="D36" t="s">
        <v>9</v>
      </c>
      <c r="F36" t="s">
        <v>4</v>
      </c>
      <c r="G36" t="s">
        <v>5</v>
      </c>
      <c r="H36">
        <v>3.0003000000000002</v>
      </c>
      <c r="I36" t="s">
        <v>9</v>
      </c>
      <c r="K36">
        <v>5.2862</v>
      </c>
      <c r="L36">
        <v>0.14851</v>
      </c>
      <c r="O36" t="s">
        <v>4</v>
      </c>
      <c r="P36" t="s">
        <v>10</v>
      </c>
      <c r="Q36">
        <v>3.03</v>
      </c>
      <c r="R36" t="s">
        <v>4</v>
      </c>
      <c r="S36" t="s">
        <v>14</v>
      </c>
      <c r="T36">
        <v>3.0003500000000001</v>
      </c>
      <c r="U36" t="s">
        <v>28</v>
      </c>
      <c r="V36">
        <f>K73</f>
        <v>5.8933</v>
      </c>
      <c r="W36">
        <f>L73</f>
        <v>0.20474999999999999</v>
      </c>
      <c r="X36">
        <f>AVERAGE(K72:K73)</f>
        <v>5.84375</v>
      </c>
    </row>
    <row r="37" spans="1:25" x14ac:dyDescent="0.35">
      <c r="O37" s="2" t="s">
        <v>4</v>
      </c>
      <c r="P37" s="2" t="s">
        <v>10</v>
      </c>
      <c r="Q37" s="2">
        <v>3.03</v>
      </c>
      <c r="R37" s="2" t="s">
        <v>7</v>
      </c>
      <c r="S37" s="2" t="s">
        <v>5</v>
      </c>
      <c r="T37" s="2">
        <v>3.0005000000000002</v>
      </c>
      <c r="U37" s="2" t="s">
        <v>22</v>
      </c>
      <c r="V37" s="2">
        <f>K15</f>
        <v>4.9252000000000002</v>
      </c>
      <c r="W37" s="2">
        <f>L15</f>
        <v>0.24512999999999999</v>
      </c>
      <c r="X37" s="2">
        <f>AVERAGE(K12:K15)</f>
        <v>4.8465500000000006</v>
      </c>
      <c r="Y37" s="2"/>
    </row>
    <row r="38" spans="1:25" x14ac:dyDescent="0.35">
      <c r="A38" t="s">
        <v>4</v>
      </c>
      <c r="B38" t="s">
        <v>10</v>
      </c>
      <c r="C38">
        <v>3.03</v>
      </c>
      <c r="D38" t="s">
        <v>6</v>
      </c>
      <c r="F38" t="s">
        <v>4</v>
      </c>
      <c r="G38" t="s">
        <v>5</v>
      </c>
      <c r="H38">
        <v>3.0003000000000002</v>
      </c>
      <c r="I38" t="s">
        <v>6</v>
      </c>
      <c r="K38">
        <v>5.0898000000000003</v>
      </c>
      <c r="L38">
        <v>0.23985999999999999</v>
      </c>
      <c r="O38" s="2" t="s">
        <v>4</v>
      </c>
      <c r="P38" s="2" t="s">
        <v>10</v>
      </c>
      <c r="Q38" s="2">
        <v>3.03</v>
      </c>
      <c r="R38" s="2" t="s">
        <v>4</v>
      </c>
      <c r="S38" s="2" t="s">
        <v>5</v>
      </c>
      <c r="T38" s="2">
        <v>3.0003000000000002</v>
      </c>
      <c r="U38" s="2" t="s">
        <v>30</v>
      </c>
      <c r="V38" s="2">
        <f>K38</f>
        <v>5.0898000000000003</v>
      </c>
      <c r="W38" s="2">
        <f>L38</f>
        <v>0.23985999999999999</v>
      </c>
      <c r="X38" s="2">
        <f>AVERAGE(K38:K41)</f>
        <v>4.9996</v>
      </c>
      <c r="Y38" s="2"/>
    </row>
    <row r="39" spans="1:25" x14ac:dyDescent="0.35">
      <c r="A39" t="s">
        <v>4</v>
      </c>
      <c r="B39" t="s">
        <v>10</v>
      </c>
      <c r="C39">
        <v>3.03</v>
      </c>
      <c r="D39" t="s">
        <v>9</v>
      </c>
      <c r="F39" t="s">
        <v>4</v>
      </c>
      <c r="G39" t="s">
        <v>5</v>
      </c>
      <c r="H39">
        <v>3.0003000000000002</v>
      </c>
      <c r="I39" t="s">
        <v>6</v>
      </c>
      <c r="K39">
        <v>4.8700999999999999</v>
      </c>
      <c r="L39">
        <v>0.28514</v>
      </c>
    </row>
    <row r="40" spans="1:25" x14ac:dyDescent="0.35">
      <c r="A40" t="s">
        <v>4</v>
      </c>
      <c r="B40" t="s">
        <v>10</v>
      </c>
      <c r="C40">
        <v>3.03</v>
      </c>
      <c r="D40" t="s">
        <v>6</v>
      </c>
      <c r="F40" t="s">
        <v>4</v>
      </c>
      <c r="G40" t="s">
        <v>5</v>
      </c>
      <c r="H40">
        <v>3.0003000000000002</v>
      </c>
      <c r="I40" t="s">
        <v>9</v>
      </c>
      <c r="K40">
        <v>4.9641000000000002</v>
      </c>
      <c r="L40">
        <v>0.22634000000000001</v>
      </c>
    </row>
    <row r="41" spans="1:25" x14ac:dyDescent="0.35">
      <c r="A41" t="s">
        <v>4</v>
      </c>
      <c r="B41" t="s">
        <v>10</v>
      </c>
      <c r="C41">
        <v>3.03</v>
      </c>
      <c r="D41" t="s">
        <v>9</v>
      </c>
      <c r="F41" t="s">
        <v>4</v>
      </c>
      <c r="G41" t="s">
        <v>5</v>
      </c>
      <c r="H41">
        <v>3.0003000000000002</v>
      </c>
      <c r="I41" t="s">
        <v>9</v>
      </c>
      <c r="K41">
        <v>5.0743999999999998</v>
      </c>
      <c r="L41">
        <v>0.22658</v>
      </c>
    </row>
    <row r="43" spans="1:25" x14ac:dyDescent="0.35">
      <c r="A43" t="s">
        <v>4</v>
      </c>
      <c r="B43" t="s">
        <v>11</v>
      </c>
      <c r="C43">
        <v>3</v>
      </c>
      <c r="D43" t="s">
        <v>12</v>
      </c>
      <c r="F43" t="s">
        <v>4</v>
      </c>
      <c r="G43" t="s">
        <v>5</v>
      </c>
      <c r="H43">
        <v>3.0003000000000002</v>
      </c>
      <c r="I43" t="s">
        <v>6</v>
      </c>
      <c r="K43">
        <v>5.3845000000000001</v>
      </c>
      <c r="L43">
        <v>0.15487000000000001</v>
      </c>
    </row>
    <row r="44" spans="1:25" x14ac:dyDescent="0.35">
      <c r="A44" t="s">
        <v>4</v>
      </c>
      <c r="B44" t="s">
        <v>11</v>
      </c>
      <c r="C44">
        <v>3</v>
      </c>
      <c r="D44" t="s">
        <v>13</v>
      </c>
      <c r="F44" t="s">
        <v>4</v>
      </c>
      <c r="G44" t="s">
        <v>5</v>
      </c>
      <c r="H44">
        <v>3.0003000000000002</v>
      </c>
      <c r="I44" t="s">
        <v>6</v>
      </c>
      <c r="K44">
        <v>5.4061000000000003</v>
      </c>
      <c r="L44">
        <v>0.17183999999999999</v>
      </c>
    </row>
    <row r="45" spans="1:25" x14ac:dyDescent="0.35">
      <c r="A45" t="s">
        <v>4</v>
      </c>
      <c r="B45" t="s">
        <v>11</v>
      </c>
      <c r="C45">
        <v>3</v>
      </c>
      <c r="D45" t="s">
        <v>12</v>
      </c>
      <c r="F45" t="s">
        <v>4</v>
      </c>
      <c r="G45" t="s">
        <v>5</v>
      </c>
      <c r="H45">
        <v>3.0003000000000002</v>
      </c>
      <c r="I45" t="s">
        <v>9</v>
      </c>
      <c r="K45">
        <v>5.3788</v>
      </c>
      <c r="L45">
        <v>0.15814</v>
      </c>
    </row>
    <row r="46" spans="1:25" x14ac:dyDescent="0.35">
      <c r="A46" t="s">
        <v>4</v>
      </c>
      <c r="B46" t="s">
        <v>11</v>
      </c>
      <c r="C46">
        <v>3</v>
      </c>
      <c r="D46" t="s">
        <v>13</v>
      </c>
      <c r="F46" t="s">
        <v>4</v>
      </c>
      <c r="G46" t="s">
        <v>5</v>
      </c>
      <c r="H46">
        <v>3.0003000000000002</v>
      </c>
      <c r="I46" t="s">
        <v>9</v>
      </c>
      <c r="K46">
        <v>5.4405000000000001</v>
      </c>
      <c r="L46">
        <v>0.11557000000000001</v>
      </c>
    </row>
    <row r="48" spans="1:25" x14ac:dyDescent="0.35">
      <c r="A48" t="s">
        <v>4</v>
      </c>
      <c r="B48" t="s">
        <v>14</v>
      </c>
      <c r="C48">
        <v>3.03</v>
      </c>
      <c r="F48" t="s">
        <v>4</v>
      </c>
      <c r="G48" t="s">
        <v>5</v>
      </c>
      <c r="H48">
        <v>3.0003000000000002</v>
      </c>
      <c r="I48" t="s">
        <v>6</v>
      </c>
      <c r="K48">
        <v>5.3761000000000001</v>
      </c>
      <c r="L48">
        <v>0.17963000000000001</v>
      </c>
    </row>
    <row r="49" spans="1:12" x14ac:dyDescent="0.35">
      <c r="A49" t="s">
        <v>4</v>
      </c>
      <c r="B49" t="s">
        <v>14</v>
      </c>
      <c r="C49">
        <v>3.03</v>
      </c>
      <c r="F49" t="s">
        <v>4</v>
      </c>
      <c r="G49" t="s">
        <v>5</v>
      </c>
      <c r="H49">
        <v>3.0003000000000002</v>
      </c>
      <c r="I49" t="s">
        <v>9</v>
      </c>
      <c r="K49">
        <v>5.4653</v>
      </c>
      <c r="L49">
        <v>0.19797999999999999</v>
      </c>
    </row>
    <row r="51" spans="1:12" x14ac:dyDescent="0.35">
      <c r="A51" t="s">
        <v>4</v>
      </c>
      <c r="B51" t="s">
        <v>15</v>
      </c>
      <c r="C51">
        <v>3.03</v>
      </c>
      <c r="F51" t="s">
        <v>4</v>
      </c>
      <c r="G51" t="s">
        <v>5</v>
      </c>
      <c r="H51">
        <v>3.0003000000000002</v>
      </c>
      <c r="I51" t="s">
        <v>6</v>
      </c>
      <c r="K51">
        <v>5.2676999999999996</v>
      </c>
      <c r="L51">
        <v>0.10329000000000001</v>
      </c>
    </row>
    <row r="52" spans="1:12" x14ac:dyDescent="0.35">
      <c r="A52" t="s">
        <v>4</v>
      </c>
      <c r="B52" t="s">
        <v>15</v>
      </c>
      <c r="C52">
        <v>3.03</v>
      </c>
      <c r="F52" t="s">
        <v>4</v>
      </c>
      <c r="G52" t="s">
        <v>5</v>
      </c>
      <c r="H52">
        <v>3.0003000000000002</v>
      </c>
      <c r="I52" t="s">
        <v>9</v>
      </c>
      <c r="K52">
        <v>5.0663</v>
      </c>
      <c r="L52">
        <v>0.24307000000000001</v>
      </c>
    </row>
    <row r="54" spans="1:12" x14ac:dyDescent="0.35">
      <c r="A54" t="s">
        <v>4</v>
      </c>
      <c r="B54" t="s">
        <v>5</v>
      </c>
      <c r="C54">
        <v>3.1</v>
      </c>
      <c r="D54" t="s">
        <v>6</v>
      </c>
      <c r="F54" t="s">
        <v>7</v>
      </c>
      <c r="G54" t="s">
        <v>14</v>
      </c>
      <c r="H54">
        <v>3.0003500000000001</v>
      </c>
      <c r="K54">
        <v>5.7689000000000004</v>
      </c>
      <c r="L54">
        <v>0.17093</v>
      </c>
    </row>
    <row r="55" spans="1:12" x14ac:dyDescent="0.35">
      <c r="A55" t="s">
        <v>4</v>
      </c>
      <c r="B55" t="s">
        <v>5</v>
      </c>
      <c r="C55">
        <v>3.1</v>
      </c>
      <c r="D55" t="s">
        <v>9</v>
      </c>
      <c r="F55" t="s">
        <v>7</v>
      </c>
      <c r="G55" t="s">
        <v>14</v>
      </c>
      <c r="H55">
        <v>3.0003500000000001</v>
      </c>
      <c r="K55">
        <v>5.7766999999999999</v>
      </c>
      <c r="L55">
        <v>0.12673000000000001</v>
      </c>
    </row>
    <row r="57" spans="1:12" x14ac:dyDescent="0.35">
      <c r="A57" t="s">
        <v>4</v>
      </c>
      <c r="B57" t="s">
        <v>5</v>
      </c>
      <c r="C57">
        <v>3.03</v>
      </c>
      <c r="D57" t="s">
        <v>6</v>
      </c>
      <c r="F57" t="s">
        <v>7</v>
      </c>
      <c r="G57" t="s">
        <v>14</v>
      </c>
      <c r="H57">
        <v>3.0003500000000001</v>
      </c>
      <c r="K57">
        <v>5.6824000000000003</v>
      </c>
      <c r="L57">
        <v>0.16148999999999999</v>
      </c>
    </row>
    <row r="58" spans="1:12" x14ac:dyDescent="0.35">
      <c r="A58" t="s">
        <v>4</v>
      </c>
      <c r="B58" t="s">
        <v>5</v>
      </c>
      <c r="C58">
        <v>3.03</v>
      </c>
      <c r="D58" t="s">
        <v>9</v>
      </c>
      <c r="F58" t="s">
        <v>7</v>
      </c>
      <c r="G58" t="s">
        <v>14</v>
      </c>
      <c r="H58">
        <v>3.0003500000000001</v>
      </c>
      <c r="K58">
        <v>5.6265999999999998</v>
      </c>
      <c r="L58">
        <v>0.14484</v>
      </c>
    </row>
    <row r="60" spans="1:12" x14ac:dyDescent="0.35">
      <c r="A60" t="s">
        <v>4</v>
      </c>
      <c r="B60" t="s">
        <v>10</v>
      </c>
      <c r="C60">
        <v>3.03</v>
      </c>
      <c r="D60" t="s">
        <v>6</v>
      </c>
      <c r="F60" t="s">
        <v>7</v>
      </c>
      <c r="G60" t="s">
        <v>14</v>
      </c>
      <c r="H60">
        <v>3.0003500000000001</v>
      </c>
      <c r="K60">
        <v>5.4851999999999999</v>
      </c>
      <c r="L60">
        <v>0.13294</v>
      </c>
    </row>
    <row r="61" spans="1:12" x14ac:dyDescent="0.35">
      <c r="A61" t="s">
        <v>4</v>
      </c>
      <c r="B61" t="s">
        <v>10</v>
      </c>
      <c r="C61">
        <v>3.03</v>
      </c>
      <c r="D61" t="s">
        <v>9</v>
      </c>
      <c r="F61" t="s">
        <v>7</v>
      </c>
      <c r="G61" t="s">
        <v>14</v>
      </c>
      <c r="H61">
        <v>3.0003500000000001</v>
      </c>
      <c r="K61">
        <v>5.4489000000000001</v>
      </c>
      <c r="L61">
        <v>0.20791999999999999</v>
      </c>
    </row>
    <row r="63" spans="1:12" x14ac:dyDescent="0.35">
      <c r="A63" t="s">
        <v>4</v>
      </c>
      <c r="B63" t="s">
        <v>11</v>
      </c>
      <c r="C63">
        <v>3</v>
      </c>
      <c r="D63" t="s">
        <v>12</v>
      </c>
      <c r="F63" t="s">
        <v>7</v>
      </c>
      <c r="G63" t="s">
        <v>14</v>
      </c>
      <c r="H63">
        <v>3.0003500000000001</v>
      </c>
      <c r="K63">
        <v>5.7939999999999996</v>
      </c>
      <c r="L63">
        <v>0.16389999999999999</v>
      </c>
    </row>
    <row r="64" spans="1:12" x14ac:dyDescent="0.35">
      <c r="A64" t="s">
        <v>4</v>
      </c>
      <c r="B64" t="s">
        <v>11</v>
      </c>
      <c r="C64">
        <v>3</v>
      </c>
      <c r="D64" t="s">
        <v>13</v>
      </c>
      <c r="F64" t="s">
        <v>7</v>
      </c>
      <c r="G64" t="s">
        <v>14</v>
      </c>
      <c r="H64">
        <v>3.0003500000000001</v>
      </c>
      <c r="K64">
        <v>5.7024999999999997</v>
      </c>
      <c r="L64">
        <v>0.18021000000000001</v>
      </c>
    </row>
    <row r="66" spans="1:12" x14ac:dyDescent="0.35">
      <c r="A66" t="s">
        <v>4</v>
      </c>
      <c r="B66" t="s">
        <v>5</v>
      </c>
      <c r="C66">
        <v>3.1</v>
      </c>
      <c r="D66" t="s">
        <v>6</v>
      </c>
      <c r="F66" t="s">
        <v>4</v>
      </c>
      <c r="G66" t="s">
        <v>14</v>
      </c>
      <c r="H66">
        <v>3.0003500000000001</v>
      </c>
      <c r="K66">
        <v>6.1805000000000003</v>
      </c>
      <c r="L66">
        <v>0.18612999999999999</v>
      </c>
    </row>
    <row r="67" spans="1:12" x14ac:dyDescent="0.35">
      <c r="A67" t="s">
        <v>4</v>
      </c>
      <c r="B67" t="s">
        <v>5</v>
      </c>
      <c r="C67">
        <v>3.1</v>
      </c>
      <c r="D67" t="s">
        <v>9</v>
      </c>
      <c r="F67" t="s">
        <v>4</v>
      </c>
      <c r="G67" t="s">
        <v>14</v>
      </c>
      <c r="H67">
        <v>3.0003500000000001</v>
      </c>
      <c r="K67">
        <v>6.2347999999999999</v>
      </c>
      <c r="L67">
        <v>0.11994</v>
      </c>
    </row>
    <row r="69" spans="1:12" x14ac:dyDescent="0.35">
      <c r="A69" t="s">
        <v>4</v>
      </c>
      <c r="B69" t="s">
        <v>5</v>
      </c>
      <c r="C69">
        <v>3.03</v>
      </c>
      <c r="D69" t="s">
        <v>6</v>
      </c>
      <c r="F69" t="s">
        <v>4</v>
      </c>
      <c r="G69" t="s">
        <v>14</v>
      </c>
      <c r="H69">
        <v>3.0003500000000001</v>
      </c>
      <c r="K69">
        <v>6.2207999999999997</v>
      </c>
      <c r="L69">
        <v>0.16142000000000001</v>
      </c>
    </row>
    <row r="70" spans="1:12" x14ac:dyDescent="0.35">
      <c r="A70" t="s">
        <v>4</v>
      </c>
      <c r="B70" t="s">
        <v>5</v>
      </c>
      <c r="C70">
        <v>3.03</v>
      </c>
      <c r="D70" t="s">
        <v>9</v>
      </c>
      <c r="F70" t="s">
        <v>4</v>
      </c>
      <c r="G70" t="s">
        <v>14</v>
      </c>
      <c r="H70">
        <v>3.0003500000000001</v>
      </c>
      <c r="K70">
        <v>6.0605000000000002</v>
      </c>
      <c r="L70">
        <v>0.14022000000000001</v>
      </c>
    </row>
    <row r="72" spans="1:12" x14ac:dyDescent="0.35">
      <c r="A72" t="s">
        <v>4</v>
      </c>
      <c r="B72" t="s">
        <v>10</v>
      </c>
      <c r="C72">
        <v>3.03</v>
      </c>
      <c r="D72" t="s">
        <v>6</v>
      </c>
      <c r="F72" t="s">
        <v>4</v>
      </c>
      <c r="G72" t="s">
        <v>14</v>
      </c>
      <c r="H72">
        <v>3.0003500000000001</v>
      </c>
      <c r="K72">
        <v>5.7942</v>
      </c>
      <c r="L72">
        <v>0.25152000000000002</v>
      </c>
    </row>
    <row r="73" spans="1:12" x14ac:dyDescent="0.35">
      <c r="A73" t="s">
        <v>4</v>
      </c>
      <c r="B73" t="s">
        <v>10</v>
      </c>
      <c r="C73">
        <v>3.03</v>
      </c>
      <c r="D73" t="s">
        <v>9</v>
      </c>
      <c r="F73" t="s">
        <v>4</v>
      </c>
      <c r="G73" t="s">
        <v>14</v>
      </c>
      <c r="H73">
        <v>3.0003500000000001</v>
      </c>
      <c r="K73">
        <v>5.8933</v>
      </c>
      <c r="L73">
        <v>0.20474999999999999</v>
      </c>
    </row>
    <row r="75" spans="1:12" x14ac:dyDescent="0.35">
      <c r="A75" t="s">
        <v>4</v>
      </c>
      <c r="B75" t="s">
        <v>11</v>
      </c>
      <c r="C75">
        <v>3</v>
      </c>
      <c r="D75" t="s">
        <v>12</v>
      </c>
      <c r="F75" t="s">
        <v>4</v>
      </c>
      <c r="G75" t="s">
        <v>14</v>
      </c>
      <c r="H75">
        <v>3.0003500000000001</v>
      </c>
      <c r="K75">
        <v>6.2656999999999998</v>
      </c>
      <c r="L75">
        <v>0.16308</v>
      </c>
    </row>
    <row r="76" spans="1:12" x14ac:dyDescent="0.35">
      <c r="A76" t="s">
        <v>4</v>
      </c>
      <c r="B76" t="s">
        <v>11</v>
      </c>
      <c r="C76">
        <v>3</v>
      </c>
      <c r="D76" t="s">
        <v>13</v>
      </c>
      <c r="F76" t="s">
        <v>4</v>
      </c>
      <c r="G76" t="s">
        <v>14</v>
      </c>
      <c r="H76">
        <v>3.0003500000000001</v>
      </c>
      <c r="K76">
        <v>6.1355000000000004</v>
      </c>
      <c r="L76">
        <v>0.19686000000000001</v>
      </c>
    </row>
    <row r="78" spans="1:12" x14ac:dyDescent="0.35">
      <c r="A78" t="s">
        <v>7</v>
      </c>
      <c r="B78" t="s">
        <v>5</v>
      </c>
      <c r="C78">
        <v>3.1</v>
      </c>
      <c r="D78" t="s">
        <v>6</v>
      </c>
      <c r="F78" t="s">
        <v>7</v>
      </c>
      <c r="G78" t="s">
        <v>5</v>
      </c>
      <c r="H78">
        <v>3.0005000000000002</v>
      </c>
      <c r="I78" t="s">
        <v>6</v>
      </c>
      <c r="K78">
        <v>5.1172000000000004</v>
      </c>
      <c r="L78">
        <v>0.21498999999999999</v>
      </c>
    </row>
    <row r="79" spans="1:12" x14ac:dyDescent="0.35">
      <c r="A79" t="s">
        <v>7</v>
      </c>
      <c r="B79" t="s">
        <v>5</v>
      </c>
      <c r="C79">
        <v>3.1</v>
      </c>
      <c r="D79" t="s">
        <v>9</v>
      </c>
      <c r="F79" t="s">
        <v>7</v>
      </c>
      <c r="G79" t="s">
        <v>5</v>
      </c>
      <c r="H79">
        <v>3.0005000000000002</v>
      </c>
      <c r="I79" t="s">
        <v>6</v>
      </c>
      <c r="K79">
        <v>5.0137999999999998</v>
      </c>
      <c r="L79">
        <v>0.19767000000000001</v>
      </c>
    </row>
    <row r="80" spans="1:12" x14ac:dyDescent="0.35">
      <c r="A80" t="s">
        <v>7</v>
      </c>
      <c r="B80" t="s">
        <v>5</v>
      </c>
      <c r="C80">
        <v>3.1</v>
      </c>
      <c r="D80" t="s">
        <v>6</v>
      </c>
      <c r="F80" t="s">
        <v>7</v>
      </c>
      <c r="G80" t="s">
        <v>5</v>
      </c>
      <c r="H80">
        <v>3.0005000000000002</v>
      </c>
      <c r="I80" t="s">
        <v>9</v>
      </c>
      <c r="K80">
        <v>4.9393000000000002</v>
      </c>
      <c r="L80">
        <v>0.14474999999999999</v>
      </c>
    </row>
    <row r="81" spans="1:12" x14ac:dyDescent="0.35">
      <c r="A81" t="s">
        <v>7</v>
      </c>
      <c r="B81" t="s">
        <v>5</v>
      </c>
      <c r="C81">
        <v>3.1</v>
      </c>
      <c r="D81" t="s">
        <v>9</v>
      </c>
      <c r="F81" t="s">
        <v>7</v>
      </c>
      <c r="G81" t="s">
        <v>5</v>
      </c>
      <c r="H81">
        <v>3.0005000000000002</v>
      </c>
      <c r="I81" t="s">
        <v>9</v>
      </c>
      <c r="K81">
        <v>4.8802000000000003</v>
      </c>
      <c r="L81">
        <v>0.21615999999999999</v>
      </c>
    </row>
    <row r="83" spans="1:12" x14ac:dyDescent="0.35">
      <c r="A83" t="s">
        <v>7</v>
      </c>
      <c r="B83" t="s">
        <v>5</v>
      </c>
      <c r="C83">
        <v>3.03</v>
      </c>
      <c r="D83" t="s">
        <v>6</v>
      </c>
      <c r="F83" t="s">
        <v>7</v>
      </c>
      <c r="G83" t="s">
        <v>5</v>
      </c>
      <c r="H83">
        <v>3.0005000000000002</v>
      </c>
      <c r="I83" t="s">
        <v>6</v>
      </c>
      <c r="K83">
        <v>5.0061999999999998</v>
      </c>
      <c r="L83">
        <v>0.17745</v>
      </c>
    </row>
    <row r="84" spans="1:12" x14ac:dyDescent="0.35">
      <c r="A84" t="s">
        <v>7</v>
      </c>
      <c r="B84" t="s">
        <v>5</v>
      </c>
      <c r="C84">
        <v>3.03</v>
      </c>
      <c r="D84" t="s">
        <v>9</v>
      </c>
      <c r="F84" t="s">
        <v>7</v>
      </c>
      <c r="G84" t="s">
        <v>5</v>
      </c>
      <c r="H84">
        <v>3.0005000000000002</v>
      </c>
      <c r="I84" t="s">
        <v>6</v>
      </c>
      <c r="K84">
        <v>4.9306000000000001</v>
      </c>
      <c r="L84">
        <v>0.20164000000000001</v>
      </c>
    </row>
    <row r="85" spans="1:12" x14ac:dyDescent="0.35">
      <c r="A85" t="s">
        <v>7</v>
      </c>
      <c r="B85" t="s">
        <v>5</v>
      </c>
      <c r="C85">
        <v>3.03</v>
      </c>
      <c r="D85" t="s">
        <v>6</v>
      </c>
      <c r="F85" t="s">
        <v>7</v>
      </c>
      <c r="G85" t="s">
        <v>5</v>
      </c>
      <c r="H85">
        <v>3.0005000000000002</v>
      </c>
      <c r="I85" t="s">
        <v>9</v>
      </c>
      <c r="K85">
        <v>5.0326000000000004</v>
      </c>
      <c r="L85">
        <v>0.11187999999999999</v>
      </c>
    </row>
    <row r="86" spans="1:12" x14ac:dyDescent="0.35">
      <c r="A86" t="s">
        <v>7</v>
      </c>
      <c r="B86" t="s">
        <v>5</v>
      </c>
      <c r="C86">
        <v>3.03</v>
      </c>
      <c r="D86" t="s">
        <v>9</v>
      </c>
      <c r="F86" t="s">
        <v>7</v>
      </c>
      <c r="G86" t="s">
        <v>5</v>
      </c>
      <c r="H86">
        <v>3.0005000000000002</v>
      </c>
      <c r="I86" t="s">
        <v>9</v>
      </c>
      <c r="K86">
        <v>4.8037999999999998</v>
      </c>
      <c r="L86">
        <v>0.10655000000000001</v>
      </c>
    </row>
    <row r="88" spans="1:12" x14ac:dyDescent="0.35">
      <c r="A88" t="s">
        <v>7</v>
      </c>
      <c r="B88" t="s">
        <v>11</v>
      </c>
      <c r="C88">
        <v>3</v>
      </c>
      <c r="D88" t="s">
        <v>33</v>
      </c>
      <c r="F88" t="s">
        <v>7</v>
      </c>
      <c r="G88" t="s">
        <v>5</v>
      </c>
      <c r="H88">
        <v>3.0005000000000002</v>
      </c>
      <c r="I88" t="s">
        <v>6</v>
      </c>
      <c r="K88">
        <v>4.9592000000000001</v>
      </c>
      <c r="L88">
        <v>0.19664000000000001</v>
      </c>
    </row>
    <row r="89" spans="1:12" x14ac:dyDescent="0.35">
      <c r="A89" t="s">
        <v>7</v>
      </c>
      <c r="B89" t="s">
        <v>11</v>
      </c>
      <c r="C89">
        <v>3</v>
      </c>
      <c r="D89" t="s">
        <v>34</v>
      </c>
      <c r="F89" t="s">
        <v>7</v>
      </c>
      <c r="G89" t="s">
        <v>5</v>
      </c>
      <c r="H89">
        <v>3.0005000000000002</v>
      </c>
      <c r="I89" t="s">
        <v>6</v>
      </c>
      <c r="K89">
        <v>5.2119999999999997</v>
      </c>
      <c r="L89">
        <v>0.12881999999999999</v>
      </c>
    </row>
    <row r="90" spans="1:12" x14ac:dyDescent="0.35">
      <c r="A90" t="s">
        <v>7</v>
      </c>
      <c r="B90" t="s">
        <v>11</v>
      </c>
      <c r="C90">
        <v>3</v>
      </c>
      <c r="D90" t="s">
        <v>33</v>
      </c>
      <c r="F90" t="s">
        <v>7</v>
      </c>
      <c r="G90" t="s">
        <v>5</v>
      </c>
      <c r="H90">
        <v>3.0005000000000002</v>
      </c>
      <c r="I90" t="s">
        <v>9</v>
      </c>
      <c r="K90">
        <v>4.7713000000000001</v>
      </c>
      <c r="L90">
        <v>0.13003999999999999</v>
      </c>
    </row>
    <row r="91" spans="1:12" x14ac:dyDescent="0.35">
      <c r="A91" t="s">
        <v>7</v>
      </c>
      <c r="B91" t="s">
        <v>11</v>
      </c>
      <c r="C91">
        <v>3</v>
      </c>
      <c r="D91" t="s">
        <v>34</v>
      </c>
      <c r="F91" t="s">
        <v>7</v>
      </c>
      <c r="G91" t="s">
        <v>5</v>
      </c>
      <c r="H91">
        <v>3.0005000000000002</v>
      </c>
      <c r="I91" t="s">
        <v>9</v>
      </c>
      <c r="K91">
        <v>4.9302000000000001</v>
      </c>
      <c r="L91">
        <v>0.21604000000000001</v>
      </c>
    </row>
    <row r="93" spans="1:12" x14ac:dyDescent="0.35">
      <c r="A93" t="s">
        <v>7</v>
      </c>
      <c r="B93" t="s">
        <v>14</v>
      </c>
      <c r="C93">
        <v>3.03</v>
      </c>
      <c r="F93" t="s">
        <v>7</v>
      </c>
      <c r="G93" t="s">
        <v>5</v>
      </c>
      <c r="H93">
        <v>3.0005000000000002</v>
      </c>
      <c r="I93" t="s">
        <v>6</v>
      </c>
      <c r="K93">
        <v>4.8821000000000003</v>
      </c>
      <c r="L93">
        <v>0.24782000000000001</v>
      </c>
    </row>
    <row r="94" spans="1:12" x14ac:dyDescent="0.35">
      <c r="A94" t="s">
        <v>7</v>
      </c>
      <c r="B94" t="s">
        <v>14</v>
      </c>
      <c r="C94">
        <v>3.03</v>
      </c>
      <c r="F94" t="s">
        <v>7</v>
      </c>
      <c r="G94" t="s">
        <v>5</v>
      </c>
      <c r="H94">
        <v>3.0005000000000002</v>
      </c>
      <c r="I94" t="s">
        <v>9</v>
      </c>
      <c r="K94">
        <v>5.0776000000000003</v>
      </c>
      <c r="L94">
        <v>0.16858000000000001</v>
      </c>
    </row>
    <row r="96" spans="1:12" x14ac:dyDescent="0.35">
      <c r="A96" t="s">
        <v>7</v>
      </c>
      <c r="B96" t="s">
        <v>15</v>
      </c>
      <c r="C96">
        <v>3.03</v>
      </c>
      <c r="F96" t="s">
        <v>7</v>
      </c>
      <c r="G96" t="s">
        <v>5</v>
      </c>
      <c r="H96">
        <v>3.0005000000000002</v>
      </c>
      <c r="I96" t="s">
        <v>6</v>
      </c>
      <c r="K96">
        <v>5.1329000000000002</v>
      </c>
      <c r="L96">
        <v>0.17432</v>
      </c>
    </row>
    <row r="97" spans="1:12" x14ac:dyDescent="0.35">
      <c r="A97" t="s">
        <v>7</v>
      </c>
      <c r="B97" t="s">
        <v>15</v>
      </c>
      <c r="C97">
        <v>3.03</v>
      </c>
      <c r="F97" t="s">
        <v>7</v>
      </c>
      <c r="G97" t="s">
        <v>5</v>
      </c>
      <c r="H97">
        <v>3.0005000000000002</v>
      </c>
      <c r="I97" t="s">
        <v>9</v>
      </c>
      <c r="K97">
        <v>4.7945000000000002</v>
      </c>
      <c r="L97">
        <v>0.23799000000000001</v>
      </c>
    </row>
    <row r="99" spans="1:12" x14ac:dyDescent="0.35">
      <c r="A99" t="s">
        <v>7</v>
      </c>
      <c r="B99" t="s">
        <v>5</v>
      </c>
      <c r="C99">
        <v>3.1</v>
      </c>
      <c r="D99" t="s">
        <v>6</v>
      </c>
      <c r="F99" t="s">
        <v>4</v>
      </c>
      <c r="G99" t="s">
        <v>5</v>
      </c>
      <c r="H99">
        <v>3.0003000000000002</v>
      </c>
      <c r="I99" t="s">
        <v>6</v>
      </c>
      <c r="K99">
        <v>5.1456</v>
      </c>
      <c r="L99">
        <v>9.8281999999999994E-2</v>
      </c>
    </row>
    <row r="100" spans="1:12" x14ac:dyDescent="0.35">
      <c r="A100" t="s">
        <v>7</v>
      </c>
      <c r="B100" t="s">
        <v>5</v>
      </c>
      <c r="C100">
        <v>3.1</v>
      </c>
      <c r="D100" t="s">
        <v>9</v>
      </c>
      <c r="F100" t="s">
        <v>4</v>
      </c>
      <c r="G100" t="s">
        <v>5</v>
      </c>
      <c r="H100">
        <v>3.0003000000000002</v>
      </c>
      <c r="I100" t="s">
        <v>6</v>
      </c>
      <c r="K100">
        <v>5.2698</v>
      </c>
      <c r="L100">
        <v>0.20230999999999999</v>
      </c>
    </row>
    <row r="101" spans="1:12" x14ac:dyDescent="0.35">
      <c r="A101" t="s">
        <v>7</v>
      </c>
      <c r="B101" t="s">
        <v>5</v>
      </c>
      <c r="C101">
        <v>3.1</v>
      </c>
      <c r="D101" t="s">
        <v>6</v>
      </c>
      <c r="F101" t="s">
        <v>4</v>
      </c>
      <c r="G101" t="s">
        <v>5</v>
      </c>
      <c r="H101">
        <v>3.0003000000000002</v>
      </c>
      <c r="I101" t="s">
        <v>9</v>
      </c>
      <c r="K101">
        <v>5.2130000000000001</v>
      </c>
      <c r="L101">
        <v>0.19719</v>
      </c>
    </row>
    <row r="102" spans="1:12" x14ac:dyDescent="0.35">
      <c r="A102" t="s">
        <v>7</v>
      </c>
      <c r="B102" t="s">
        <v>5</v>
      </c>
      <c r="C102">
        <v>3.1</v>
      </c>
      <c r="D102" t="s">
        <v>9</v>
      </c>
      <c r="F102" t="s">
        <v>4</v>
      </c>
      <c r="G102" t="s">
        <v>5</v>
      </c>
      <c r="H102">
        <v>3.0003000000000002</v>
      </c>
      <c r="I102" t="s">
        <v>9</v>
      </c>
      <c r="K102">
        <v>5.1505000000000001</v>
      </c>
      <c r="L102">
        <v>0.20688999999999999</v>
      </c>
    </row>
    <row r="104" spans="1:12" x14ac:dyDescent="0.35">
      <c r="A104" t="s">
        <v>7</v>
      </c>
      <c r="B104" t="s">
        <v>5</v>
      </c>
      <c r="C104">
        <v>3.03</v>
      </c>
      <c r="D104" t="s">
        <v>6</v>
      </c>
      <c r="F104" t="s">
        <v>4</v>
      </c>
      <c r="G104" t="s">
        <v>5</v>
      </c>
      <c r="H104">
        <v>3.0003000000000002</v>
      </c>
      <c r="I104" t="s">
        <v>6</v>
      </c>
      <c r="K104">
        <v>5.1535000000000002</v>
      </c>
      <c r="L104">
        <v>0.16943</v>
      </c>
    </row>
    <row r="105" spans="1:12" x14ac:dyDescent="0.35">
      <c r="A105" t="s">
        <v>7</v>
      </c>
      <c r="B105" t="s">
        <v>5</v>
      </c>
      <c r="C105">
        <v>3.03</v>
      </c>
      <c r="D105" t="s">
        <v>9</v>
      </c>
      <c r="F105" t="s">
        <v>4</v>
      </c>
      <c r="G105" t="s">
        <v>5</v>
      </c>
      <c r="H105">
        <v>3.0003000000000002</v>
      </c>
      <c r="I105" t="s">
        <v>6</v>
      </c>
      <c r="K105">
        <v>5.1578999999999997</v>
      </c>
      <c r="L105">
        <v>0.22659000000000001</v>
      </c>
    </row>
    <row r="106" spans="1:12" x14ac:dyDescent="0.35">
      <c r="A106" t="s">
        <v>7</v>
      </c>
      <c r="B106" t="s">
        <v>5</v>
      </c>
      <c r="C106">
        <v>3.03</v>
      </c>
      <c r="D106" t="s">
        <v>6</v>
      </c>
      <c r="F106" t="s">
        <v>4</v>
      </c>
      <c r="G106" t="s">
        <v>5</v>
      </c>
      <c r="H106">
        <v>3.0003000000000002</v>
      </c>
      <c r="I106" t="s">
        <v>9</v>
      </c>
      <c r="K106">
        <v>5.0816999999999997</v>
      </c>
      <c r="L106">
        <v>0.27302999999999999</v>
      </c>
    </row>
    <row r="107" spans="1:12" x14ac:dyDescent="0.35">
      <c r="A107" t="s">
        <v>7</v>
      </c>
      <c r="B107" t="s">
        <v>5</v>
      </c>
      <c r="C107">
        <v>3.03</v>
      </c>
      <c r="D107" t="s">
        <v>9</v>
      </c>
      <c r="F107" t="s">
        <v>4</v>
      </c>
      <c r="G107" t="s">
        <v>5</v>
      </c>
      <c r="H107">
        <v>3.0003000000000002</v>
      </c>
      <c r="I107" t="s">
        <v>9</v>
      </c>
      <c r="K107">
        <v>5.0818000000000003</v>
      </c>
      <c r="L107">
        <v>0.20687</v>
      </c>
    </row>
    <row r="109" spans="1:12" x14ac:dyDescent="0.35">
      <c r="A109" t="s">
        <v>7</v>
      </c>
      <c r="B109" t="s">
        <v>11</v>
      </c>
      <c r="C109">
        <v>3</v>
      </c>
      <c r="D109" t="s">
        <v>33</v>
      </c>
      <c r="F109" t="s">
        <v>4</v>
      </c>
      <c r="G109" t="s">
        <v>5</v>
      </c>
      <c r="H109">
        <v>3.0003000000000002</v>
      </c>
      <c r="I109" t="s">
        <v>6</v>
      </c>
      <c r="K109">
        <v>5.2393000000000001</v>
      </c>
      <c r="L109">
        <v>0.20125999999999999</v>
      </c>
    </row>
    <row r="110" spans="1:12" x14ac:dyDescent="0.35">
      <c r="A110" t="s">
        <v>7</v>
      </c>
      <c r="B110" t="s">
        <v>11</v>
      </c>
      <c r="C110">
        <v>3</v>
      </c>
      <c r="D110" t="s">
        <v>34</v>
      </c>
      <c r="F110" t="s">
        <v>4</v>
      </c>
      <c r="G110" t="s">
        <v>5</v>
      </c>
      <c r="H110">
        <v>3.0003000000000002</v>
      </c>
      <c r="I110" t="s">
        <v>6</v>
      </c>
      <c r="K110">
        <v>5.4507000000000003</v>
      </c>
      <c r="L110">
        <v>0.13056999999999999</v>
      </c>
    </row>
    <row r="111" spans="1:12" x14ac:dyDescent="0.35">
      <c r="A111" t="s">
        <v>7</v>
      </c>
      <c r="B111" t="s">
        <v>11</v>
      </c>
      <c r="C111">
        <v>3</v>
      </c>
      <c r="D111" t="s">
        <v>33</v>
      </c>
      <c r="F111" t="s">
        <v>4</v>
      </c>
      <c r="G111" t="s">
        <v>5</v>
      </c>
      <c r="H111">
        <v>3.0003000000000002</v>
      </c>
      <c r="I111" t="s">
        <v>9</v>
      </c>
      <c r="K111">
        <v>5.0016999999999996</v>
      </c>
      <c r="L111">
        <v>0.16088</v>
      </c>
    </row>
    <row r="112" spans="1:12" x14ac:dyDescent="0.35">
      <c r="A112" t="s">
        <v>7</v>
      </c>
      <c r="B112" t="s">
        <v>11</v>
      </c>
      <c r="C112">
        <v>3</v>
      </c>
      <c r="D112" t="s">
        <v>34</v>
      </c>
      <c r="F112" t="s">
        <v>4</v>
      </c>
      <c r="G112" t="s">
        <v>5</v>
      </c>
      <c r="H112">
        <v>3.0003000000000002</v>
      </c>
      <c r="I112" t="s">
        <v>9</v>
      </c>
      <c r="K112">
        <v>5.1189</v>
      </c>
      <c r="L112">
        <v>0.17918000000000001</v>
      </c>
    </row>
    <row r="114" spans="1:12" x14ac:dyDescent="0.35">
      <c r="A114" t="s">
        <v>7</v>
      </c>
      <c r="B114" t="s">
        <v>14</v>
      </c>
      <c r="C114">
        <v>3.03</v>
      </c>
      <c r="F114" t="s">
        <v>4</v>
      </c>
      <c r="G114" t="s">
        <v>5</v>
      </c>
      <c r="H114">
        <v>3.0003000000000002</v>
      </c>
      <c r="I114" t="s">
        <v>6</v>
      </c>
      <c r="K114">
        <v>5.1113999999999997</v>
      </c>
      <c r="L114">
        <v>0.23580999999999999</v>
      </c>
    </row>
    <row r="115" spans="1:12" x14ac:dyDescent="0.35">
      <c r="A115" t="s">
        <v>7</v>
      </c>
      <c r="B115" t="s">
        <v>14</v>
      </c>
      <c r="C115">
        <v>3.03</v>
      </c>
      <c r="F115" t="s">
        <v>4</v>
      </c>
      <c r="G115" t="s">
        <v>5</v>
      </c>
      <c r="H115">
        <v>3.0003000000000002</v>
      </c>
      <c r="I115" t="s">
        <v>9</v>
      </c>
      <c r="K115">
        <v>5.2939999999999996</v>
      </c>
      <c r="L115">
        <v>0.12637999999999999</v>
      </c>
    </row>
    <row r="117" spans="1:12" x14ac:dyDescent="0.35">
      <c r="A117" t="s">
        <v>7</v>
      </c>
      <c r="B117" t="s">
        <v>15</v>
      </c>
      <c r="C117">
        <v>3.03</v>
      </c>
      <c r="F117" t="s">
        <v>4</v>
      </c>
      <c r="G117" t="s">
        <v>5</v>
      </c>
      <c r="H117">
        <v>3.0003000000000002</v>
      </c>
      <c r="I117" t="s">
        <v>6</v>
      </c>
      <c r="K117">
        <v>5.1665000000000001</v>
      </c>
      <c r="L117">
        <v>0.21301999999999999</v>
      </c>
    </row>
    <row r="118" spans="1:12" x14ac:dyDescent="0.35">
      <c r="A118" t="s">
        <v>7</v>
      </c>
      <c r="B118" t="s">
        <v>15</v>
      </c>
      <c r="C118">
        <v>3.03</v>
      </c>
      <c r="F118" t="s">
        <v>4</v>
      </c>
      <c r="G118" t="s">
        <v>5</v>
      </c>
      <c r="H118">
        <v>3.0003000000000002</v>
      </c>
      <c r="I118" t="s">
        <v>9</v>
      </c>
      <c r="K118">
        <v>5.0281000000000002</v>
      </c>
      <c r="L118">
        <v>0.20637</v>
      </c>
    </row>
    <row r="120" spans="1:12" x14ac:dyDescent="0.35">
      <c r="A120" t="s">
        <v>7</v>
      </c>
      <c r="B120" t="s">
        <v>5</v>
      </c>
      <c r="C120">
        <v>3.1</v>
      </c>
      <c r="D120" t="s">
        <v>6</v>
      </c>
      <c r="F120" t="s">
        <v>7</v>
      </c>
      <c r="G120" t="s">
        <v>14</v>
      </c>
      <c r="H120">
        <v>3.0003500000000001</v>
      </c>
      <c r="K120">
        <v>5.6936999999999998</v>
      </c>
      <c r="L120">
        <v>0.22273000000000001</v>
      </c>
    </row>
    <row r="121" spans="1:12" x14ac:dyDescent="0.35">
      <c r="A121" t="s">
        <v>7</v>
      </c>
      <c r="B121" t="s">
        <v>5</v>
      </c>
      <c r="C121">
        <v>3.1</v>
      </c>
      <c r="D121" t="s">
        <v>9</v>
      </c>
      <c r="F121" t="s">
        <v>7</v>
      </c>
      <c r="G121" t="s">
        <v>14</v>
      </c>
      <c r="H121">
        <v>3.0003500000000001</v>
      </c>
      <c r="K121">
        <v>5.556</v>
      </c>
      <c r="L121">
        <v>0.21786</v>
      </c>
    </row>
    <row r="123" spans="1:12" x14ac:dyDescent="0.35">
      <c r="A123" t="s">
        <v>7</v>
      </c>
      <c r="B123" t="s">
        <v>5</v>
      </c>
      <c r="C123">
        <v>3.03</v>
      </c>
      <c r="D123" t="s">
        <v>6</v>
      </c>
      <c r="F123" t="s">
        <v>7</v>
      </c>
      <c r="G123" t="s">
        <v>14</v>
      </c>
      <c r="H123">
        <v>3.0003500000000001</v>
      </c>
      <c r="K123">
        <v>5.6210000000000004</v>
      </c>
      <c r="L123">
        <v>0.20155000000000001</v>
      </c>
    </row>
    <row r="124" spans="1:12" x14ac:dyDescent="0.35">
      <c r="A124" t="s">
        <v>7</v>
      </c>
      <c r="B124" t="s">
        <v>5</v>
      </c>
      <c r="C124">
        <v>3.03</v>
      </c>
      <c r="D124" t="s">
        <v>9</v>
      </c>
      <c r="F124" t="s">
        <v>7</v>
      </c>
      <c r="G124" t="s">
        <v>14</v>
      </c>
      <c r="H124">
        <v>3.0003500000000001</v>
      </c>
      <c r="K124">
        <v>5.5377000000000001</v>
      </c>
      <c r="L124">
        <v>0.20199</v>
      </c>
    </row>
    <row r="126" spans="1:12" x14ac:dyDescent="0.35">
      <c r="A126" t="s">
        <v>7</v>
      </c>
      <c r="B126" t="s">
        <v>11</v>
      </c>
      <c r="C126">
        <v>3</v>
      </c>
      <c r="D126" t="s">
        <v>33</v>
      </c>
      <c r="F126" t="s">
        <v>7</v>
      </c>
      <c r="G126" t="s">
        <v>14</v>
      </c>
      <c r="H126">
        <v>3.0003500000000001</v>
      </c>
      <c r="K126">
        <v>5.4314</v>
      </c>
      <c r="L126">
        <v>0.20441999999999999</v>
      </c>
    </row>
    <row r="127" spans="1:12" x14ac:dyDescent="0.35">
      <c r="A127" t="s">
        <v>7</v>
      </c>
      <c r="B127" t="s">
        <v>11</v>
      </c>
      <c r="C127">
        <v>3</v>
      </c>
      <c r="D127" t="s">
        <v>34</v>
      </c>
      <c r="F127" t="s">
        <v>7</v>
      </c>
      <c r="G127" t="s">
        <v>14</v>
      </c>
      <c r="H127">
        <v>3.0003500000000001</v>
      </c>
      <c r="K127">
        <v>5.7434000000000003</v>
      </c>
      <c r="L127">
        <v>0.11726</v>
      </c>
    </row>
    <row r="129" spans="1:12" x14ac:dyDescent="0.35">
      <c r="A129" t="s">
        <v>7</v>
      </c>
      <c r="B129" t="s">
        <v>5</v>
      </c>
      <c r="C129">
        <v>3.1</v>
      </c>
      <c r="D129" t="s">
        <v>6</v>
      </c>
      <c r="F129" t="s">
        <v>4</v>
      </c>
      <c r="G129" t="s">
        <v>14</v>
      </c>
      <c r="H129">
        <v>3.0003500000000001</v>
      </c>
      <c r="K129">
        <v>6.0955000000000004</v>
      </c>
      <c r="L129">
        <v>0.21503</v>
      </c>
    </row>
    <row r="130" spans="1:12" x14ac:dyDescent="0.35">
      <c r="A130" t="s">
        <v>7</v>
      </c>
      <c r="B130" t="s">
        <v>5</v>
      </c>
      <c r="C130">
        <v>3.1</v>
      </c>
      <c r="D130" t="s">
        <v>9</v>
      </c>
      <c r="F130" t="s">
        <v>4</v>
      </c>
      <c r="G130" t="s">
        <v>14</v>
      </c>
      <c r="H130">
        <v>3.0003500000000001</v>
      </c>
      <c r="K130">
        <v>5.9158999999999997</v>
      </c>
      <c r="L130">
        <v>0.11205</v>
      </c>
    </row>
    <row r="132" spans="1:12" x14ac:dyDescent="0.35">
      <c r="A132" t="s">
        <v>7</v>
      </c>
      <c r="B132" t="s">
        <v>5</v>
      </c>
      <c r="C132">
        <v>3.03</v>
      </c>
      <c r="D132" t="s">
        <v>6</v>
      </c>
      <c r="F132" t="s">
        <v>4</v>
      </c>
      <c r="G132" t="s">
        <v>14</v>
      </c>
      <c r="H132">
        <v>3.0003500000000001</v>
      </c>
      <c r="K132">
        <v>5.8295000000000003</v>
      </c>
      <c r="L132">
        <v>0.16982</v>
      </c>
    </row>
    <row r="133" spans="1:12" x14ac:dyDescent="0.35">
      <c r="A133" t="s">
        <v>7</v>
      </c>
      <c r="B133" t="s">
        <v>5</v>
      </c>
      <c r="C133">
        <v>3.03</v>
      </c>
      <c r="D133" t="s">
        <v>9</v>
      </c>
      <c r="F133" t="s">
        <v>4</v>
      </c>
      <c r="G133" t="s">
        <v>14</v>
      </c>
      <c r="H133">
        <v>3.0003500000000001</v>
      </c>
      <c r="K133">
        <v>5.8952999999999998</v>
      </c>
      <c r="L133">
        <v>0.13494</v>
      </c>
    </row>
    <row r="135" spans="1:12" x14ac:dyDescent="0.35">
      <c r="A135" t="s">
        <v>7</v>
      </c>
      <c r="B135" t="s">
        <v>11</v>
      </c>
      <c r="C135">
        <v>3</v>
      </c>
      <c r="D135" t="s">
        <v>33</v>
      </c>
      <c r="F135" t="s">
        <v>4</v>
      </c>
      <c r="G135" t="s">
        <v>14</v>
      </c>
      <c r="H135">
        <v>3.0003500000000001</v>
      </c>
      <c r="K135">
        <v>5.9481000000000002</v>
      </c>
      <c r="L135">
        <v>0.15301999999999999</v>
      </c>
    </row>
    <row r="136" spans="1:12" x14ac:dyDescent="0.35">
      <c r="A136" t="s">
        <v>7</v>
      </c>
      <c r="B136" t="s">
        <v>11</v>
      </c>
      <c r="C136">
        <v>3</v>
      </c>
      <c r="D136" t="s">
        <v>34</v>
      </c>
      <c r="F136" t="s">
        <v>4</v>
      </c>
      <c r="G136" t="s">
        <v>14</v>
      </c>
      <c r="H136">
        <v>3.0003500000000001</v>
      </c>
      <c r="K136">
        <v>5.7274000000000003</v>
      </c>
      <c r="L136">
        <v>0.26229000000000002</v>
      </c>
    </row>
    <row r="142" spans="1:12" x14ac:dyDescent="0.35">
      <c r="A142" t="s">
        <v>4</v>
      </c>
      <c r="B142" t="s">
        <v>5</v>
      </c>
      <c r="C142">
        <v>3.13</v>
      </c>
      <c r="D142" t="s">
        <v>6</v>
      </c>
      <c r="F142" t="s">
        <v>4</v>
      </c>
      <c r="G142" t="s">
        <v>5</v>
      </c>
      <c r="H142">
        <v>3.0007130000000002</v>
      </c>
      <c r="I142" t="s">
        <v>9</v>
      </c>
      <c r="K142">
        <v>5.9715999999999996</v>
      </c>
      <c r="L142">
        <v>0.15046999999999999</v>
      </c>
    </row>
    <row r="143" spans="1:12" x14ac:dyDescent="0.35">
      <c r="A143" t="s">
        <v>4</v>
      </c>
      <c r="B143" t="s">
        <v>5</v>
      </c>
      <c r="C143">
        <v>3.1</v>
      </c>
      <c r="D143" t="s">
        <v>6</v>
      </c>
      <c r="F143" t="s">
        <v>4</v>
      </c>
      <c r="G143" t="s">
        <v>5</v>
      </c>
      <c r="H143">
        <v>3.0007130000000002</v>
      </c>
      <c r="I143" t="s">
        <v>9</v>
      </c>
      <c r="K143">
        <v>5.8395999999999999</v>
      </c>
      <c r="L143">
        <v>0.19688</v>
      </c>
    </row>
    <row r="144" spans="1:12" x14ac:dyDescent="0.35">
      <c r="A144" t="s">
        <v>4</v>
      </c>
      <c r="B144" t="s">
        <v>5</v>
      </c>
      <c r="C144">
        <v>3.07</v>
      </c>
      <c r="D144" t="s">
        <v>6</v>
      </c>
      <c r="F144" t="s">
        <v>4</v>
      </c>
      <c r="G144" t="s">
        <v>5</v>
      </c>
      <c r="H144">
        <v>3.0007130000000002</v>
      </c>
      <c r="I144" t="s">
        <v>9</v>
      </c>
      <c r="K144">
        <v>5.8787000000000003</v>
      </c>
      <c r="L144">
        <v>0.16439000000000001</v>
      </c>
    </row>
    <row r="145" spans="1:12" x14ac:dyDescent="0.35">
      <c r="A145" t="s">
        <v>4</v>
      </c>
      <c r="B145" t="s">
        <v>5</v>
      </c>
      <c r="C145">
        <v>3.03</v>
      </c>
      <c r="D145" t="s">
        <v>6</v>
      </c>
      <c r="F145" t="s">
        <v>4</v>
      </c>
      <c r="G145" t="s">
        <v>5</v>
      </c>
      <c r="H145">
        <v>3.0007130000000002</v>
      </c>
      <c r="I145" t="s">
        <v>9</v>
      </c>
      <c r="K145">
        <v>5.9002999999999997</v>
      </c>
      <c r="L145">
        <v>0.12168</v>
      </c>
    </row>
    <row r="147" spans="1:12" x14ac:dyDescent="0.35">
      <c r="A147" t="s">
        <v>4</v>
      </c>
      <c r="B147" t="s">
        <v>14</v>
      </c>
      <c r="C147">
        <v>3.13</v>
      </c>
      <c r="F147" t="s">
        <v>4</v>
      </c>
      <c r="G147" t="s">
        <v>5</v>
      </c>
      <c r="H147">
        <v>3.0007130000000002</v>
      </c>
      <c r="I147" t="s">
        <v>9</v>
      </c>
      <c r="K147">
        <v>5.8655999999999997</v>
      </c>
      <c r="L147">
        <v>0.16173000000000001</v>
      </c>
    </row>
    <row r="148" spans="1:12" x14ac:dyDescent="0.35">
      <c r="A148" t="s">
        <v>4</v>
      </c>
      <c r="B148" t="s">
        <v>14</v>
      </c>
      <c r="C148">
        <v>3.1</v>
      </c>
      <c r="F148" t="s">
        <v>4</v>
      </c>
      <c r="G148" t="s">
        <v>5</v>
      </c>
      <c r="H148">
        <v>3.0007130000000002</v>
      </c>
      <c r="I148" t="s">
        <v>9</v>
      </c>
      <c r="K148">
        <v>6.0692000000000004</v>
      </c>
      <c r="L148">
        <v>0.13755999999999999</v>
      </c>
    </row>
    <row r="149" spans="1:12" x14ac:dyDescent="0.35">
      <c r="A149" t="s">
        <v>4</v>
      </c>
      <c r="B149" t="s">
        <v>14</v>
      </c>
      <c r="C149">
        <v>3.07</v>
      </c>
      <c r="F149" t="s">
        <v>4</v>
      </c>
      <c r="G149" t="s">
        <v>5</v>
      </c>
      <c r="H149">
        <v>3.0007130000000002</v>
      </c>
      <c r="I149" t="s">
        <v>9</v>
      </c>
      <c r="K149">
        <v>5.7492999999999999</v>
      </c>
      <c r="L149">
        <v>0.17424000000000001</v>
      </c>
    </row>
    <row r="150" spans="1:12" x14ac:dyDescent="0.35">
      <c r="A150" t="s">
        <v>4</v>
      </c>
      <c r="B150" t="s">
        <v>14</v>
      </c>
      <c r="C150">
        <v>3.03</v>
      </c>
      <c r="F150" t="s">
        <v>4</v>
      </c>
      <c r="G150" t="s">
        <v>5</v>
      </c>
      <c r="H150">
        <v>3.0007130000000002</v>
      </c>
      <c r="I150" t="s">
        <v>9</v>
      </c>
      <c r="K150">
        <v>5.9268000000000001</v>
      </c>
      <c r="L150">
        <v>0.14732999999999999</v>
      </c>
    </row>
    <row r="151" spans="1:12" x14ac:dyDescent="0.35">
      <c r="A151" t="s">
        <v>4</v>
      </c>
      <c r="B151" t="s">
        <v>14</v>
      </c>
      <c r="C151">
        <v>3</v>
      </c>
      <c r="F151" t="s">
        <v>4</v>
      </c>
      <c r="G151" t="s">
        <v>5</v>
      </c>
      <c r="H151">
        <v>3.0007130000000002</v>
      </c>
      <c r="I151" t="s">
        <v>9</v>
      </c>
      <c r="K151">
        <v>6.2666000000000004</v>
      </c>
      <c r="L151">
        <v>0.12254</v>
      </c>
    </row>
    <row r="152" spans="1:12" x14ac:dyDescent="0.35">
      <c r="A152" t="s">
        <v>4</v>
      </c>
      <c r="B152" t="s">
        <v>14</v>
      </c>
      <c r="C152">
        <v>2.97</v>
      </c>
      <c r="F152" t="s">
        <v>4</v>
      </c>
      <c r="G152" t="s">
        <v>5</v>
      </c>
      <c r="H152">
        <v>3.0007130000000002</v>
      </c>
      <c r="I152" t="s">
        <v>9</v>
      </c>
      <c r="K152">
        <v>5.8673000000000002</v>
      </c>
      <c r="L152">
        <v>0.21803</v>
      </c>
    </row>
    <row r="154" spans="1:12" x14ac:dyDescent="0.35">
      <c r="A154" t="s">
        <v>4</v>
      </c>
      <c r="B154" t="s">
        <v>15</v>
      </c>
      <c r="C154">
        <v>3.13</v>
      </c>
      <c r="F154" t="s">
        <v>4</v>
      </c>
      <c r="G154" t="s">
        <v>5</v>
      </c>
      <c r="H154">
        <v>3.0007130000000002</v>
      </c>
      <c r="I154" t="s">
        <v>9</v>
      </c>
      <c r="K154">
        <v>5.8053999999999997</v>
      </c>
      <c r="L154">
        <v>0.21163999999999999</v>
      </c>
    </row>
    <row r="155" spans="1:12" x14ac:dyDescent="0.35">
      <c r="A155" t="s">
        <v>4</v>
      </c>
      <c r="B155" t="s">
        <v>15</v>
      </c>
      <c r="C155">
        <v>3.1</v>
      </c>
      <c r="F155" t="s">
        <v>4</v>
      </c>
      <c r="G155" t="s">
        <v>5</v>
      </c>
      <c r="H155">
        <v>3.0007130000000002</v>
      </c>
      <c r="I155" t="s">
        <v>9</v>
      </c>
      <c r="K155">
        <v>5.7717999999999998</v>
      </c>
      <c r="L155">
        <v>0.24234</v>
      </c>
    </row>
    <row r="156" spans="1:12" x14ac:dyDescent="0.35">
      <c r="A156" t="s">
        <v>4</v>
      </c>
      <c r="B156" t="s">
        <v>15</v>
      </c>
      <c r="C156">
        <v>3.07</v>
      </c>
      <c r="F156" t="s">
        <v>4</v>
      </c>
      <c r="G156" t="s">
        <v>5</v>
      </c>
      <c r="H156">
        <v>3.0007130000000002</v>
      </c>
      <c r="I156" t="s">
        <v>9</v>
      </c>
      <c r="K156">
        <v>5.6589</v>
      </c>
      <c r="L156">
        <v>0.23436999999999999</v>
      </c>
    </row>
    <row r="157" spans="1:12" x14ac:dyDescent="0.35">
      <c r="A157" t="s">
        <v>4</v>
      </c>
      <c r="B157" t="s">
        <v>15</v>
      </c>
      <c r="C157">
        <v>3.03</v>
      </c>
      <c r="F157" t="s">
        <v>4</v>
      </c>
      <c r="G157" t="s">
        <v>5</v>
      </c>
      <c r="H157">
        <v>3.0007130000000002</v>
      </c>
      <c r="I157" t="s">
        <v>9</v>
      </c>
      <c r="K157">
        <v>5.5473999999999997</v>
      </c>
      <c r="L157">
        <v>8.4532999999999997E-2</v>
      </c>
    </row>
    <row r="158" spans="1:12" x14ac:dyDescent="0.35">
      <c r="A158" t="s">
        <v>4</v>
      </c>
      <c r="B158" t="s">
        <v>15</v>
      </c>
      <c r="C158">
        <v>3</v>
      </c>
      <c r="F158" t="s">
        <v>4</v>
      </c>
      <c r="G158" t="s">
        <v>5</v>
      </c>
      <c r="H158">
        <v>3.0007130000000002</v>
      </c>
      <c r="I158" t="s">
        <v>9</v>
      </c>
      <c r="K158">
        <v>5.4755000000000003</v>
      </c>
      <c r="L158">
        <v>0.29468</v>
      </c>
    </row>
    <row r="159" spans="1:12" x14ac:dyDescent="0.35">
      <c r="A159" t="s">
        <v>4</v>
      </c>
      <c r="B159" t="s">
        <v>15</v>
      </c>
      <c r="C159">
        <v>2.97</v>
      </c>
      <c r="F159" t="s">
        <v>4</v>
      </c>
      <c r="G159" t="s">
        <v>5</v>
      </c>
      <c r="H159">
        <v>3.0007130000000002</v>
      </c>
      <c r="I159" t="s">
        <v>9</v>
      </c>
      <c r="K159">
        <v>5.4053000000000004</v>
      </c>
      <c r="L159">
        <v>0.16544</v>
      </c>
    </row>
    <row r="161" spans="1:12" x14ac:dyDescent="0.35">
      <c r="A161" t="s">
        <v>4</v>
      </c>
      <c r="B161" t="s">
        <v>11</v>
      </c>
      <c r="C161">
        <v>3</v>
      </c>
      <c r="D161" t="s">
        <v>13</v>
      </c>
      <c r="F161" t="s">
        <v>4</v>
      </c>
      <c r="G161" t="s">
        <v>5</v>
      </c>
      <c r="H161">
        <v>3.0007130000000002</v>
      </c>
      <c r="I161" t="s">
        <v>9</v>
      </c>
      <c r="K161">
        <v>5.9080000000000004</v>
      </c>
      <c r="L161">
        <v>0.17085</v>
      </c>
    </row>
    <row r="162" spans="1:12" x14ac:dyDescent="0.35">
      <c r="A162" t="s">
        <v>4</v>
      </c>
      <c r="B162" t="s">
        <v>11</v>
      </c>
      <c r="C162">
        <v>2.97</v>
      </c>
      <c r="D162" t="s">
        <v>13</v>
      </c>
      <c r="F162" t="s">
        <v>4</v>
      </c>
      <c r="G162" t="s">
        <v>5</v>
      </c>
      <c r="H162">
        <v>3.0007130000000002</v>
      </c>
      <c r="I162" t="s">
        <v>9</v>
      </c>
      <c r="K162">
        <v>5.6792999999999996</v>
      </c>
      <c r="L162">
        <v>0.15587999999999999</v>
      </c>
    </row>
    <row r="164" spans="1:12" x14ac:dyDescent="0.35">
      <c r="A164" t="s">
        <v>4</v>
      </c>
      <c r="B164" t="s">
        <v>10</v>
      </c>
      <c r="C164">
        <v>3.07</v>
      </c>
      <c r="D164" t="s">
        <v>6</v>
      </c>
      <c r="F164" t="s">
        <v>4</v>
      </c>
      <c r="G164" t="s">
        <v>5</v>
      </c>
      <c r="H164">
        <v>3.0007130000000002</v>
      </c>
      <c r="I164" t="s">
        <v>9</v>
      </c>
      <c r="K164">
        <v>5.7515000000000001</v>
      </c>
      <c r="L164">
        <v>0.14387</v>
      </c>
    </row>
    <row r="165" spans="1:12" x14ac:dyDescent="0.35">
      <c r="A165" t="s">
        <v>4</v>
      </c>
      <c r="B165" t="s">
        <v>10</v>
      </c>
      <c r="C165">
        <v>3.03</v>
      </c>
      <c r="D165" t="s">
        <v>6</v>
      </c>
      <c r="F165" t="s">
        <v>4</v>
      </c>
      <c r="G165" t="s">
        <v>5</v>
      </c>
      <c r="H165">
        <v>3.0007130000000002</v>
      </c>
      <c r="I165" t="s">
        <v>9</v>
      </c>
      <c r="K165">
        <v>5.4555999999999996</v>
      </c>
      <c r="L165">
        <v>0.29004000000000002</v>
      </c>
    </row>
    <row r="166" spans="1:12" x14ac:dyDescent="0.35">
      <c r="A166" t="s">
        <v>4</v>
      </c>
      <c r="B166" t="s">
        <v>10</v>
      </c>
      <c r="C166">
        <v>3</v>
      </c>
      <c r="D166" t="s">
        <v>6</v>
      </c>
      <c r="F166" t="s">
        <v>4</v>
      </c>
      <c r="G166" t="s">
        <v>5</v>
      </c>
      <c r="H166">
        <v>3.0007130000000002</v>
      </c>
      <c r="I166" t="s">
        <v>9</v>
      </c>
      <c r="K166">
        <v>5.2579000000000002</v>
      </c>
      <c r="L166">
        <v>0.22996</v>
      </c>
    </row>
    <row r="167" spans="1:12" x14ac:dyDescent="0.35">
      <c r="A167" t="s">
        <v>4</v>
      </c>
      <c r="B167" t="s">
        <v>10</v>
      </c>
      <c r="C167">
        <v>2.97</v>
      </c>
      <c r="D167" t="s">
        <v>6</v>
      </c>
      <c r="F167" t="s">
        <v>4</v>
      </c>
      <c r="G167" t="s">
        <v>5</v>
      </c>
      <c r="H167">
        <v>3.0007130000000002</v>
      </c>
      <c r="I167" t="s">
        <v>9</v>
      </c>
      <c r="K167">
        <v>5.4318999999999997</v>
      </c>
      <c r="L167">
        <v>0.21595</v>
      </c>
    </row>
    <row r="169" spans="1:12" x14ac:dyDescent="0.35">
      <c r="A169" t="s">
        <v>4</v>
      </c>
      <c r="B169" t="s">
        <v>5</v>
      </c>
      <c r="C169">
        <v>3.13</v>
      </c>
      <c r="D169" t="s">
        <v>6</v>
      </c>
      <c r="F169" t="s">
        <v>4</v>
      </c>
      <c r="G169" t="s">
        <v>5</v>
      </c>
      <c r="H169">
        <v>3.0005000000000002</v>
      </c>
      <c r="I169" t="s">
        <v>9</v>
      </c>
      <c r="K169">
        <v>5.8322000000000003</v>
      </c>
      <c r="L169">
        <v>0.15604999999999999</v>
      </c>
    </row>
    <row r="170" spans="1:12" x14ac:dyDescent="0.35">
      <c r="A170" t="s">
        <v>4</v>
      </c>
      <c r="B170" t="s">
        <v>5</v>
      </c>
      <c r="C170">
        <v>3.1</v>
      </c>
      <c r="D170" t="s">
        <v>6</v>
      </c>
      <c r="F170" t="s">
        <v>4</v>
      </c>
      <c r="G170" t="s">
        <v>5</v>
      </c>
      <c r="H170">
        <v>3.0005000000000002</v>
      </c>
      <c r="I170" t="s">
        <v>9</v>
      </c>
      <c r="K170">
        <v>5.7766999999999999</v>
      </c>
      <c r="L170">
        <v>0.13145999999999999</v>
      </c>
    </row>
    <row r="171" spans="1:12" x14ac:dyDescent="0.35">
      <c r="A171" t="s">
        <v>4</v>
      </c>
      <c r="B171" t="s">
        <v>5</v>
      </c>
      <c r="C171">
        <v>3.07</v>
      </c>
      <c r="D171" t="s">
        <v>6</v>
      </c>
      <c r="F171" t="s">
        <v>4</v>
      </c>
      <c r="G171" t="s">
        <v>5</v>
      </c>
      <c r="H171">
        <v>3.0005000000000002</v>
      </c>
      <c r="I171" t="s">
        <v>9</v>
      </c>
      <c r="K171">
        <v>5.8513999999999999</v>
      </c>
      <c r="L171">
        <v>0.12581000000000001</v>
      </c>
    </row>
    <row r="172" spans="1:12" x14ac:dyDescent="0.35">
      <c r="A172" t="s">
        <v>4</v>
      </c>
      <c r="B172" t="s">
        <v>5</v>
      </c>
      <c r="C172">
        <v>3.03</v>
      </c>
      <c r="D172" t="s">
        <v>6</v>
      </c>
      <c r="F172" t="s">
        <v>4</v>
      </c>
      <c r="G172" t="s">
        <v>5</v>
      </c>
      <c r="H172">
        <v>3.0005000000000002</v>
      </c>
      <c r="I172" t="s">
        <v>9</v>
      </c>
      <c r="K172">
        <v>5.7074999999999996</v>
      </c>
      <c r="L172">
        <v>0.16011</v>
      </c>
    </row>
    <row r="174" spans="1:12" x14ac:dyDescent="0.35">
      <c r="A174" t="s">
        <v>4</v>
      </c>
      <c r="B174" t="s">
        <v>14</v>
      </c>
      <c r="C174">
        <v>3.13</v>
      </c>
      <c r="F174" t="s">
        <v>4</v>
      </c>
      <c r="G174" t="s">
        <v>5</v>
      </c>
      <c r="H174">
        <v>3.0005000000000002</v>
      </c>
      <c r="I174" t="s">
        <v>9</v>
      </c>
      <c r="K174">
        <v>5.8078000000000003</v>
      </c>
      <c r="L174">
        <v>0.15648000000000001</v>
      </c>
    </row>
    <row r="175" spans="1:12" x14ac:dyDescent="0.35">
      <c r="A175" t="s">
        <v>4</v>
      </c>
      <c r="B175" t="s">
        <v>14</v>
      </c>
      <c r="C175">
        <v>3.1</v>
      </c>
      <c r="F175" t="s">
        <v>4</v>
      </c>
      <c r="G175" t="s">
        <v>5</v>
      </c>
      <c r="H175">
        <v>3.0005000000000002</v>
      </c>
      <c r="I175" t="s">
        <v>9</v>
      </c>
      <c r="K175">
        <v>5.734</v>
      </c>
      <c r="L175">
        <v>0.13997000000000001</v>
      </c>
    </row>
    <row r="176" spans="1:12" x14ac:dyDescent="0.35">
      <c r="A176" t="s">
        <v>4</v>
      </c>
      <c r="B176" t="s">
        <v>14</v>
      </c>
      <c r="C176">
        <v>3.07</v>
      </c>
      <c r="F176" t="s">
        <v>4</v>
      </c>
      <c r="G176" t="s">
        <v>5</v>
      </c>
      <c r="H176">
        <v>3.0005000000000002</v>
      </c>
      <c r="I176" t="s">
        <v>9</v>
      </c>
      <c r="K176">
        <v>5.7691999999999997</v>
      </c>
      <c r="L176">
        <v>0.16317000000000001</v>
      </c>
    </row>
    <row r="177" spans="1:12" x14ac:dyDescent="0.35">
      <c r="A177" t="s">
        <v>4</v>
      </c>
      <c r="B177" t="s">
        <v>14</v>
      </c>
      <c r="C177">
        <v>3.03</v>
      </c>
      <c r="F177" t="s">
        <v>4</v>
      </c>
      <c r="G177" t="s">
        <v>5</v>
      </c>
      <c r="H177">
        <v>3.0005000000000002</v>
      </c>
      <c r="I177" t="s">
        <v>9</v>
      </c>
      <c r="K177">
        <v>5.7038000000000002</v>
      </c>
      <c r="L177">
        <v>0.20251</v>
      </c>
    </row>
    <row r="178" spans="1:12" x14ac:dyDescent="0.35">
      <c r="A178" t="s">
        <v>4</v>
      </c>
      <c r="B178" t="s">
        <v>14</v>
      </c>
      <c r="C178">
        <v>3</v>
      </c>
      <c r="F178" t="s">
        <v>4</v>
      </c>
      <c r="G178" t="s">
        <v>5</v>
      </c>
      <c r="H178">
        <v>3.0005000000000002</v>
      </c>
      <c r="I178" t="s">
        <v>9</v>
      </c>
      <c r="K178">
        <v>5.7576000000000001</v>
      </c>
      <c r="L178">
        <v>0.15731000000000001</v>
      </c>
    </row>
    <row r="179" spans="1:12" x14ac:dyDescent="0.35">
      <c r="A179" t="s">
        <v>4</v>
      </c>
      <c r="B179" t="s">
        <v>14</v>
      </c>
      <c r="C179">
        <v>2.97</v>
      </c>
      <c r="F179" t="s">
        <v>4</v>
      </c>
      <c r="G179" t="s">
        <v>5</v>
      </c>
      <c r="H179">
        <v>3.0005000000000002</v>
      </c>
      <c r="I179" t="s">
        <v>9</v>
      </c>
      <c r="K179">
        <v>5.7633999999999999</v>
      </c>
      <c r="L179">
        <v>0.15356</v>
      </c>
    </row>
    <row r="181" spans="1:12" x14ac:dyDescent="0.35">
      <c r="A181" t="s">
        <v>4</v>
      </c>
      <c r="B181" t="s">
        <v>15</v>
      </c>
      <c r="C181">
        <v>3.13</v>
      </c>
      <c r="F181" t="s">
        <v>4</v>
      </c>
      <c r="G181" t="s">
        <v>5</v>
      </c>
      <c r="H181">
        <v>3.0005000000000002</v>
      </c>
      <c r="I181" t="s">
        <v>9</v>
      </c>
      <c r="K181">
        <v>5.5434000000000001</v>
      </c>
      <c r="L181">
        <v>0.19417000000000001</v>
      </c>
    </row>
    <row r="182" spans="1:12" x14ac:dyDescent="0.35">
      <c r="A182" t="s">
        <v>4</v>
      </c>
      <c r="B182" t="s">
        <v>15</v>
      </c>
      <c r="C182">
        <v>3.1</v>
      </c>
      <c r="F182" t="s">
        <v>4</v>
      </c>
      <c r="G182" t="s">
        <v>5</v>
      </c>
      <c r="H182">
        <v>3.0005000000000002</v>
      </c>
      <c r="I182" t="s">
        <v>9</v>
      </c>
      <c r="K182">
        <v>5.6330999999999998</v>
      </c>
      <c r="L182">
        <v>9.1711000000000001E-2</v>
      </c>
    </row>
    <row r="183" spans="1:12" x14ac:dyDescent="0.35">
      <c r="A183" t="s">
        <v>4</v>
      </c>
      <c r="B183" t="s">
        <v>15</v>
      </c>
      <c r="C183">
        <v>3.07</v>
      </c>
      <c r="F183" t="s">
        <v>4</v>
      </c>
      <c r="G183" t="s">
        <v>5</v>
      </c>
      <c r="H183">
        <v>3.0005000000000002</v>
      </c>
      <c r="I183" t="s">
        <v>9</v>
      </c>
      <c r="K183">
        <v>5.3080999999999996</v>
      </c>
      <c r="L183">
        <v>0.22652</v>
      </c>
    </row>
    <row r="184" spans="1:12" x14ac:dyDescent="0.35">
      <c r="A184" t="s">
        <v>4</v>
      </c>
      <c r="B184" t="s">
        <v>15</v>
      </c>
      <c r="C184">
        <v>3.03</v>
      </c>
      <c r="F184" t="s">
        <v>4</v>
      </c>
      <c r="G184" t="s">
        <v>5</v>
      </c>
      <c r="H184">
        <v>3.0005000000000002</v>
      </c>
      <c r="I184" t="s">
        <v>9</v>
      </c>
      <c r="K184">
        <v>5.3219000000000003</v>
      </c>
      <c r="L184">
        <v>0.25115999999999999</v>
      </c>
    </row>
    <row r="185" spans="1:12" x14ac:dyDescent="0.35">
      <c r="A185" t="s">
        <v>4</v>
      </c>
      <c r="B185" t="s">
        <v>15</v>
      </c>
      <c r="C185">
        <v>3</v>
      </c>
      <c r="F185" t="s">
        <v>4</v>
      </c>
      <c r="G185" t="s">
        <v>5</v>
      </c>
      <c r="H185">
        <v>3.0005000000000002</v>
      </c>
      <c r="I185" t="s">
        <v>9</v>
      </c>
      <c r="K185">
        <v>5.3197999999999999</v>
      </c>
      <c r="L185">
        <v>0.30941000000000002</v>
      </c>
    </row>
    <row r="186" spans="1:12" x14ac:dyDescent="0.35">
      <c r="A186" t="s">
        <v>4</v>
      </c>
      <c r="B186" t="s">
        <v>15</v>
      </c>
      <c r="C186">
        <v>2.97</v>
      </c>
      <c r="F186" t="s">
        <v>4</v>
      </c>
      <c r="G186" t="s">
        <v>5</v>
      </c>
      <c r="H186">
        <v>3.0005000000000002</v>
      </c>
      <c r="I186" t="s">
        <v>9</v>
      </c>
      <c r="K186">
        <v>5.2328999999999999</v>
      </c>
      <c r="L186">
        <v>0.15842999999999999</v>
      </c>
    </row>
    <row r="188" spans="1:12" x14ac:dyDescent="0.35">
      <c r="A188" t="s">
        <v>4</v>
      </c>
      <c r="B188" t="s">
        <v>11</v>
      </c>
      <c r="C188">
        <v>3</v>
      </c>
      <c r="D188" t="s">
        <v>13</v>
      </c>
      <c r="F188" t="s">
        <v>4</v>
      </c>
      <c r="G188" t="s">
        <v>5</v>
      </c>
      <c r="H188">
        <v>3.0005000000000002</v>
      </c>
      <c r="I188" t="s">
        <v>9</v>
      </c>
      <c r="K188">
        <v>5.6898999999999997</v>
      </c>
      <c r="L188">
        <v>0.20022000000000001</v>
      </c>
    </row>
    <row r="189" spans="1:12" x14ac:dyDescent="0.35">
      <c r="A189" t="s">
        <v>4</v>
      </c>
      <c r="B189" t="s">
        <v>11</v>
      </c>
      <c r="C189">
        <v>2.97</v>
      </c>
      <c r="D189" t="s">
        <v>13</v>
      </c>
      <c r="F189" t="s">
        <v>4</v>
      </c>
      <c r="G189" t="s">
        <v>5</v>
      </c>
      <c r="H189">
        <v>3.0005000000000002</v>
      </c>
      <c r="I189" t="s">
        <v>9</v>
      </c>
      <c r="K189">
        <v>5.4149000000000003</v>
      </c>
      <c r="L189">
        <v>0.22717000000000001</v>
      </c>
    </row>
    <row r="191" spans="1:12" x14ac:dyDescent="0.35">
      <c r="A191" t="s">
        <v>4</v>
      </c>
      <c r="B191" t="s">
        <v>10</v>
      </c>
      <c r="C191">
        <v>3.07</v>
      </c>
      <c r="D191" t="s">
        <v>6</v>
      </c>
      <c r="F191" t="s">
        <v>4</v>
      </c>
      <c r="G191" t="s">
        <v>5</v>
      </c>
      <c r="H191">
        <v>3.0005000000000002</v>
      </c>
      <c r="I191" t="s">
        <v>9</v>
      </c>
      <c r="K191">
        <v>5.4945000000000004</v>
      </c>
      <c r="L191">
        <v>0.1225</v>
      </c>
    </row>
    <row r="192" spans="1:12" x14ac:dyDescent="0.35">
      <c r="A192" t="s">
        <v>4</v>
      </c>
      <c r="B192" t="s">
        <v>10</v>
      </c>
      <c r="C192">
        <v>3.03</v>
      </c>
      <c r="D192" t="s">
        <v>6</v>
      </c>
      <c r="F192" t="s">
        <v>4</v>
      </c>
      <c r="G192" t="s">
        <v>5</v>
      </c>
      <c r="H192">
        <v>3.0005000000000002</v>
      </c>
      <c r="I192" t="s">
        <v>9</v>
      </c>
      <c r="K192">
        <v>5.1948999999999996</v>
      </c>
      <c r="L192">
        <v>0.16950999999999999</v>
      </c>
    </row>
    <row r="193" spans="1:12" x14ac:dyDescent="0.35">
      <c r="A193" t="s">
        <v>4</v>
      </c>
      <c r="B193" t="s">
        <v>10</v>
      </c>
      <c r="C193">
        <v>3</v>
      </c>
      <c r="D193" t="s">
        <v>6</v>
      </c>
      <c r="F193" t="s">
        <v>4</v>
      </c>
      <c r="G193" t="s">
        <v>5</v>
      </c>
      <c r="H193">
        <v>3.0005000000000002</v>
      </c>
      <c r="I193" t="s">
        <v>9</v>
      </c>
      <c r="K193">
        <v>4.6127000000000002</v>
      </c>
      <c r="L193">
        <v>0.21129999999999999</v>
      </c>
    </row>
    <row r="194" spans="1:12" x14ac:dyDescent="0.35">
      <c r="A194" t="s">
        <v>4</v>
      </c>
      <c r="B194" t="s">
        <v>10</v>
      </c>
      <c r="C194">
        <v>2.97</v>
      </c>
      <c r="D194" t="s">
        <v>6</v>
      </c>
      <c r="F194" t="s">
        <v>4</v>
      </c>
      <c r="G194" t="s">
        <v>5</v>
      </c>
      <c r="H194">
        <v>3.0005000000000002</v>
      </c>
      <c r="I194" t="s">
        <v>9</v>
      </c>
      <c r="K194">
        <v>4.2340999999999998</v>
      </c>
      <c r="L194">
        <v>0.23474999999999999</v>
      </c>
    </row>
    <row r="196" spans="1:12" x14ac:dyDescent="0.35">
      <c r="A196" t="s">
        <v>4</v>
      </c>
      <c r="B196" t="s">
        <v>5</v>
      </c>
      <c r="C196">
        <v>3.13</v>
      </c>
      <c r="D196" t="s">
        <v>6</v>
      </c>
      <c r="F196" t="s">
        <v>4</v>
      </c>
      <c r="G196" t="s">
        <v>5</v>
      </c>
      <c r="H196">
        <v>3.0003000000000002</v>
      </c>
      <c r="I196" t="s">
        <v>9</v>
      </c>
      <c r="K196">
        <v>5.5125999999999999</v>
      </c>
      <c r="L196">
        <v>0.15640000000000001</v>
      </c>
    </row>
    <row r="197" spans="1:12" x14ac:dyDescent="0.35">
      <c r="A197" t="s">
        <v>4</v>
      </c>
      <c r="B197" t="s">
        <v>5</v>
      </c>
      <c r="C197">
        <v>3.1</v>
      </c>
      <c r="D197" t="s">
        <v>6</v>
      </c>
      <c r="F197" t="s">
        <v>4</v>
      </c>
      <c r="G197" t="s">
        <v>5</v>
      </c>
      <c r="H197">
        <v>3.0003000000000002</v>
      </c>
      <c r="I197" t="s">
        <v>9</v>
      </c>
      <c r="K197">
        <v>5.3625999999999996</v>
      </c>
      <c r="L197">
        <v>0.19459000000000001</v>
      </c>
    </row>
    <row r="198" spans="1:12" x14ac:dyDescent="0.35">
      <c r="A198" t="s">
        <v>4</v>
      </c>
      <c r="B198" t="s">
        <v>5</v>
      </c>
      <c r="C198">
        <v>3.07</v>
      </c>
      <c r="D198" t="s">
        <v>6</v>
      </c>
      <c r="F198" t="s">
        <v>4</v>
      </c>
      <c r="G198" t="s">
        <v>5</v>
      </c>
      <c r="H198">
        <v>3.0003000000000002</v>
      </c>
      <c r="I198" t="s">
        <v>9</v>
      </c>
      <c r="K198">
        <v>5.3994999999999997</v>
      </c>
      <c r="L198">
        <v>0.18354999999999999</v>
      </c>
    </row>
    <row r="199" spans="1:12" x14ac:dyDescent="0.35">
      <c r="A199" t="s">
        <v>4</v>
      </c>
      <c r="B199" t="s">
        <v>5</v>
      </c>
      <c r="C199">
        <v>3.03</v>
      </c>
      <c r="D199" t="s">
        <v>6</v>
      </c>
      <c r="F199" t="s">
        <v>4</v>
      </c>
      <c r="G199" t="s">
        <v>5</v>
      </c>
      <c r="H199">
        <v>3.0003000000000002</v>
      </c>
      <c r="I199" t="s">
        <v>9</v>
      </c>
      <c r="K199">
        <v>5.3327</v>
      </c>
      <c r="L199">
        <v>0.20523</v>
      </c>
    </row>
    <row r="201" spans="1:12" x14ac:dyDescent="0.35">
      <c r="A201" t="s">
        <v>4</v>
      </c>
      <c r="B201" t="s">
        <v>14</v>
      </c>
      <c r="C201">
        <v>3.13</v>
      </c>
      <c r="F201" t="s">
        <v>4</v>
      </c>
      <c r="G201" t="s">
        <v>5</v>
      </c>
      <c r="H201">
        <v>3.0003000000000002</v>
      </c>
      <c r="I201" t="s">
        <v>9</v>
      </c>
      <c r="K201">
        <v>5.4192</v>
      </c>
      <c r="L201">
        <v>0.16359000000000001</v>
      </c>
    </row>
    <row r="202" spans="1:12" x14ac:dyDescent="0.35">
      <c r="A202" t="s">
        <v>4</v>
      </c>
      <c r="B202" t="s">
        <v>14</v>
      </c>
      <c r="C202">
        <v>3.1</v>
      </c>
      <c r="F202" t="s">
        <v>4</v>
      </c>
      <c r="G202" t="s">
        <v>5</v>
      </c>
      <c r="H202">
        <v>3.0003000000000002</v>
      </c>
      <c r="I202" t="s">
        <v>9</v>
      </c>
      <c r="K202">
        <v>5.4215</v>
      </c>
      <c r="L202">
        <v>0.20269000000000001</v>
      </c>
    </row>
    <row r="203" spans="1:12" x14ac:dyDescent="0.35">
      <c r="A203" t="s">
        <v>4</v>
      </c>
      <c r="B203" t="s">
        <v>14</v>
      </c>
      <c r="C203">
        <v>3.07</v>
      </c>
      <c r="F203" t="s">
        <v>4</v>
      </c>
      <c r="G203" t="s">
        <v>5</v>
      </c>
      <c r="H203">
        <v>3.0003000000000002</v>
      </c>
      <c r="I203" t="s">
        <v>9</v>
      </c>
      <c r="K203">
        <v>5.4273999999999996</v>
      </c>
      <c r="L203">
        <v>0.19596</v>
      </c>
    </row>
    <row r="204" spans="1:12" x14ac:dyDescent="0.35">
      <c r="A204" t="s">
        <v>4</v>
      </c>
      <c r="B204" t="s">
        <v>14</v>
      </c>
      <c r="C204">
        <v>3.03</v>
      </c>
      <c r="F204" t="s">
        <v>4</v>
      </c>
      <c r="G204" t="s">
        <v>5</v>
      </c>
      <c r="H204">
        <v>3.0003000000000002</v>
      </c>
      <c r="I204" t="s">
        <v>9</v>
      </c>
      <c r="K204">
        <v>5.4653</v>
      </c>
      <c r="L204">
        <v>0.19797999999999999</v>
      </c>
    </row>
    <row r="205" spans="1:12" x14ac:dyDescent="0.35">
      <c r="A205" t="s">
        <v>4</v>
      </c>
      <c r="B205" t="s">
        <v>14</v>
      </c>
      <c r="C205">
        <v>3</v>
      </c>
      <c r="F205" t="s">
        <v>4</v>
      </c>
      <c r="G205" t="s">
        <v>5</v>
      </c>
      <c r="H205">
        <v>3.0003000000000002</v>
      </c>
      <c r="I205" t="s">
        <v>9</v>
      </c>
      <c r="K205">
        <v>5.3590999999999998</v>
      </c>
      <c r="L205">
        <v>0.18851000000000001</v>
      </c>
    </row>
    <row r="206" spans="1:12" x14ac:dyDescent="0.35">
      <c r="A206" t="s">
        <v>4</v>
      </c>
      <c r="B206" t="s">
        <v>14</v>
      </c>
      <c r="C206">
        <v>2.97</v>
      </c>
      <c r="F206" t="s">
        <v>4</v>
      </c>
      <c r="G206" t="s">
        <v>5</v>
      </c>
      <c r="H206">
        <v>3.0003000000000002</v>
      </c>
      <c r="I206" t="s">
        <v>9</v>
      </c>
      <c r="K206">
        <v>5.2457000000000003</v>
      </c>
      <c r="L206">
        <v>0.18969</v>
      </c>
    </row>
    <row r="208" spans="1:12" x14ac:dyDescent="0.35">
      <c r="A208" t="s">
        <v>4</v>
      </c>
      <c r="B208" t="s">
        <v>15</v>
      </c>
      <c r="C208">
        <v>3.13</v>
      </c>
      <c r="F208" t="s">
        <v>4</v>
      </c>
      <c r="G208" t="s">
        <v>5</v>
      </c>
      <c r="H208">
        <v>3.0003000000000002</v>
      </c>
      <c r="I208" t="s">
        <v>9</v>
      </c>
      <c r="K208">
        <v>5.1805000000000003</v>
      </c>
      <c r="L208">
        <v>0.11384</v>
      </c>
    </row>
    <row r="209" spans="1:12" x14ac:dyDescent="0.35">
      <c r="A209" t="s">
        <v>4</v>
      </c>
      <c r="B209" t="s">
        <v>15</v>
      </c>
      <c r="C209">
        <v>3.1</v>
      </c>
      <c r="F209" t="s">
        <v>4</v>
      </c>
      <c r="G209" t="s">
        <v>5</v>
      </c>
      <c r="H209">
        <v>3.0003000000000002</v>
      </c>
      <c r="I209" t="s">
        <v>9</v>
      </c>
      <c r="K209">
        <v>5.2785000000000002</v>
      </c>
      <c r="L209">
        <v>0.10423</v>
      </c>
    </row>
    <row r="210" spans="1:12" x14ac:dyDescent="0.35">
      <c r="A210" t="s">
        <v>4</v>
      </c>
      <c r="B210" t="s">
        <v>15</v>
      </c>
      <c r="C210">
        <v>3.07</v>
      </c>
      <c r="F210" t="s">
        <v>4</v>
      </c>
      <c r="G210" t="s">
        <v>5</v>
      </c>
      <c r="H210">
        <v>3.0003000000000002</v>
      </c>
      <c r="I210" t="s">
        <v>9</v>
      </c>
      <c r="K210">
        <v>5.1210000000000004</v>
      </c>
      <c r="L210">
        <v>0.20305000000000001</v>
      </c>
    </row>
    <row r="211" spans="1:12" x14ac:dyDescent="0.35">
      <c r="A211" t="s">
        <v>4</v>
      </c>
      <c r="B211" t="s">
        <v>15</v>
      </c>
      <c r="C211">
        <v>3.03</v>
      </c>
      <c r="F211" t="s">
        <v>4</v>
      </c>
      <c r="G211" t="s">
        <v>5</v>
      </c>
      <c r="H211">
        <v>3.0003000000000002</v>
      </c>
      <c r="I211" t="s">
        <v>9</v>
      </c>
      <c r="K211">
        <v>5.0663</v>
      </c>
      <c r="L211">
        <v>0.24307000000000001</v>
      </c>
    </row>
    <row r="212" spans="1:12" x14ac:dyDescent="0.35">
      <c r="A212" t="s">
        <v>4</v>
      </c>
      <c r="B212" t="s">
        <v>15</v>
      </c>
      <c r="C212">
        <v>3</v>
      </c>
      <c r="F212" t="s">
        <v>4</v>
      </c>
      <c r="G212" t="s">
        <v>5</v>
      </c>
      <c r="H212">
        <v>3.0003000000000002</v>
      </c>
      <c r="I212" t="s">
        <v>9</v>
      </c>
      <c r="K212">
        <v>5.0545</v>
      </c>
      <c r="L212">
        <v>0.10946</v>
      </c>
    </row>
    <row r="213" spans="1:12" x14ac:dyDescent="0.35">
      <c r="A213" t="s">
        <v>4</v>
      </c>
      <c r="B213" t="s">
        <v>15</v>
      </c>
      <c r="C213">
        <v>2.97</v>
      </c>
      <c r="F213" t="s">
        <v>4</v>
      </c>
      <c r="G213" t="s">
        <v>5</v>
      </c>
      <c r="H213">
        <v>3.0003000000000002</v>
      </c>
      <c r="I213" t="s">
        <v>9</v>
      </c>
      <c r="K213">
        <v>4.9522000000000004</v>
      </c>
      <c r="L213">
        <v>0.19183</v>
      </c>
    </row>
    <row r="215" spans="1:12" x14ac:dyDescent="0.35">
      <c r="A215" t="s">
        <v>4</v>
      </c>
      <c r="B215" t="s">
        <v>11</v>
      </c>
      <c r="C215">
        <v>3</v>
      </c>
      <c r="D215" t="s">
        <v>13</v>
      </c>
      <c r="F215" t="s">
        <v>4</v>
      </c>
      <c r="G215" t="s">
        <v>5</v>
      </c>
      <c r="H215">
        <v>3.0003000000000002</v>
      </c>
      <c r="I215" t="s">
        <v>9</v>
      </c>
      <c r="K215">
        <v>5.4405000000000001</v>
      </c>
      <c r="L215">
        <v>0.11557000000000001</v>
      </c>
    </row>
    <row r="216" spans="1:12" x14ac:dyDescent="0.35">
      <c r="A216" t="s">
        <v>4</v>
      </c>
      <c r="B216" t="s">
        <v>11</v>
      </c>
      <c r="C216">
        <v>2.97</v>
      </c>
      <c r="D216" t="s">
        <v>13</v>
      </c>
      <c r="F216" t="s">
        <v>4</v>
      </c>
      <c r="G216" t="s">
        <v>5</v>
      </c>
      <c r="H216">
        <v>3.0003000000000002</v>
      </c>
      <c r="I216" t="s">
        <v>9</v>
      </c>
      <c r="K216">
        <v>5.1127000000000002</v>
      </c>
      <c r="L216">
        <v>0.21078</v>
      </c>
    </row>
    <row r="218" spans="1:12" x14ac:dyDescent="0.35">
      <c r="A218" t="s">
        <v>4</v>
      </c>
      <c r="B218" t="s">
        <v>10</v>
      </c>
      <c r="C218">
        <v>3.07</v>
      </c>
      <c r="D218" t="s">
        <v>6</v>
      </c>
      <c r="F218" t="s">
        <v>4</v>
      </c>
      <c r="G218" t="s">
        <v>5</v>
      </c>
      <c r="H218">
        <v>3.0003000000000002</v>
      </c>
      <c r="I218" t="s">
        <v>9</v>
      </c>
      <c r="K218">
        <v>5.1821999999999999</v>
      </c>
      <c r="L218">
        <v>0.19381000000000001</v>
      </c>
    </row>
    <row r="219" spans="1:12" x14ac:dyDescent="0.35">
      <c r="A219" t="s">
        <v>4</v>
      </c>
      <c r="B219" t="s">
        <v>10</v>
      </c>
      <c r="C219">
        <v>3.03</v>
      </c>
      <c r="D219" t="s">
        <v>6</v>
      </c>
      <c r="F219" t="s">
        <v>4</v>
      </c>
      <c r="G219" t="s">
        <v>5</v>
      </c>
      <c r="H219">
        <v>3.0003000000000002</v>
      </c>
      <c r="I219" t="s">
        <v>9</v>
      </c>
      <c r="K219">
        <v>4.9641000000000002</v>
      </c>
      <c r="L219">
        <v>0.22634000000000001</v>
      </c>
    </row>
    <row r="220" spans="1:12" x14ac:dyDescent="0.35">
      <c r="A220" t="s">
        <v>4</v>
      </c>
      <c r="B220" t="s">
        <v>10</v>
      </c>
      <c r="C220">
        <v>3</v>
      </c>
      <c r="D220" t="s">
        <v>6</v>
      </c>
      <c r="F220" t="s">
        <v>4</v>
      </c>
      <c r="G220" t="s">
        <v>5</v>
      </c>
      <c r="H220">
        <v>3.0003000000000002</v>
      </c>
      <c r="I220" t="s">
        <v>9</v>
      </c>
      <c r="K220">
        <v>4.8855000000000004</v>
      </c>
      <c r="L220">
        <v>0.20366000000000001</v>
      </c>
    </row>
    <row r="221" spans="1:12" x14ac:dyDescent="0.35">
      <c r="A221" t="s">
        <v>4</v>
      </c>
      <c r="B221" t="s">
        <v>10</v>
      </c>
      <c r="C221">
        <v>2.97</v>
      </c>
      <c r="D221" t="s">
        <v>6</v>
      </c>
      <c r="F221" t="s">
        <v>4</v>
      </c>
      <c r="G221" t="s">
        <v>5</v>
      </c>
      <c r="H221">
        <v>3.0003000000000002</v>
      </c>
      <c r="I221" t="s">
        <v>9</v>
      </c>
      <c r="K221">
        <v>3.8043999999999998</v>
      </c>
      <c r="L221">
        <v>0.21651000000000001</v>
      </c>
    </row>
  </sheetData>
  <mergeCells count="8">
    <mergeCell ref="AG1:AI1"/>
    <mergeCell ref="AJ1:AK1"/>
    <mergeCell ref="O1:Q1"/>
    <mergeCell ref="R1:T1"/>
    <mergeCell ref="U1:W1"/>
    <mergeCell ref="X1:Y1"/>
    <mergeCell ref="AA1:AC1"/>
    <mergeCell ref="AD1:AF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Mars Orientation</vt:lpstr>
      <vt:lpstr>Venus Orientation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LeFevre Richmond</dc:creator>
  <cp:lastModifiedBy>Jonathan LeFevre Richmond</cp:lastModifiedBy>
  <dcterms:created xsi:type="dcterms:W3CDTF">2026-03-31T04:10:07Z</dcterms:created>
  <dcterms:modified xsi:type="dcterms:W3CDTF">2026-04-02T06:16:43Z</dcterms:modified>
</cp:coreProperties>
</file>